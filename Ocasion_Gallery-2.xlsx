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rux\Downloads\"/>
    </mc:Choice>
  </mc:AlternateContent>
  <xr:revisionPtr revIDLastSave="0" documentId="13_ncr:1_{619880E6-9720-48D7-A7EA-3F5D8D700799}" xr6:coauthVersionLast="47" xr6:coauthVersionMax="47" xr10:uidLastSave="{00000000-0000-0000-0000-000000000000}"/>
  <bookViews>
    <workbookView xWindow="-20610" yWindow="4440" windowWidth="20730" windowHeight="11310" xr2:uid="{00000000-000D-0000-FFFF-FFFF00000000}"/>
  </bookViews>
  <sheets>
    <sheet name="Final" sheetId="1" r:id="rId1"/>
    <sheet name="Test 1" sheetId="2" r:id="rId2"/>
    <sheet name="Test 2" sheetId="3" r:id="rId3"/>
    <sheet name="Test 3" sheetId="4" r:id="rId4"/>
    <sheet name="Test 4" sheetId="5" r:id="rId5"/>
  </sheets>
  <definedNames>
    <definedName name="_xlnm._FilterDatabase" localSheetId="0" hidden="1">Final!$A$1:$I$54</definedName>
  </definedNames>
  <calcPr calcId="191029"/>
  <pivotCaches>
    <pivotCache cacheId="1" r:id="rId6"/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5" l="1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L13" i="5"/>
  <c r="K13" i="5"/>
  <c r="J13" i="5"/>
  <c r="L12" i="5"/>
  <c r="K12" i="5"/>
  <c r="J12" i="5"/>
  <c r="L11" i="5"/>
  <c r="K11" i="5"/>
  <c r="J11" i="5"/>
  <c r="L10" i="5"/>
  <c r="K10" i="5"/>
  <c r="J10" i="5"/>
  <c r="L9" i="5"/>
  <c r="K9" i="5"/>
  <c r="J9" i="5"/>
  <c r="L8" i="5"/>
  <c r="K8" i="5"/>
  <c r="J8" i="5"/>
  <c r="L7" i="5"/>
  <c r="K7" i="5"/>
  <c r="J7" i="5"/>
  <c r="L6" i="5"/>
  <c r="K6" i="5"/>
  <c r="J6" i="5"/>
  <c r="L5" i="5"/>
  <c r="K5" i="5"/>
  <c r="J5" i="5"/>
  <c r="L4" i="5"/>
  <c r="K4" i="5"/>
  <c r="J4" i="5"/>
  <c r="L3" i="5"/>
  <c r="K3" i="5"/>
  <c r="J3" i="5"/>
  <c r="L2" i="5"/>
  <c r="K2" i="5"/>
  <c r="J2" i="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2" i="1"/>
  <c r="G1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G3" i="4"/>
  <c r="E3" i="4"/>
  <c r="G2" i="4"/>
  <c r="E2" i="4"/>
  <c r="F1" i="3"/>
  <c r="E19" i="3"/>
  <c r="E20" i="3"/>
  <c r="E21" i="3"/>
  <c r="E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</calcChain>
</file>

<file path=xl/sharedStrings.xml><?xml version="1.0" encoding="utf-8"?>
<sst xmlns="http://schemas.openxmlformats.org/spreadsheetml/2006/main" count="1218" uniqueCount="203">
  <si>
    <t>Visitor ID</t>
  </si>
  <si>
    <t>Name</t>
  </si>
  <si>
    <t>Entry Time</t>
  </si>
  <si>
    <t>Exit Time</t>
  </si>
  <si>
    <t>Location Visited</t>
  </si>
  <si>
    <t>Items Carried</t>
  </si>
  <si>
    <t>Relation to Staff</t>
  </si>
  <si>
    <t>Suspicious Behavior</t>
  </si>
  <si>
    <t>Time Near Painting (min)</t>
  </si>
  <si>
    <t>V020</t>
  </si>
  <si>
    <t>V042</t>
  </si>
  <si>
    <t>V048</t>
  </si>
  <si>
    <t>V013</t>
  </si>
  <si>
    <t>V044</t>
  </si>
  <si>
    <t>V006</t>
  </si>
  <si>
    <t>V018</t>
  </si>
  <si>
    <t>V014</t>
  </si>
  <si>
    <t>V004</t>
  </si>
  <si>
    <t>V033</t>
  </si>
  <si>
    <t>V009</t>
  </si>
  <si>
    <t>V027</t>
  </si>
  <si>
    <t>V007</t>
  </si>
  <si>
    <t>V035</t>
  </si>
  <si>
    <t>V005</t>
  </si>
  <si>
    <t>V038</t>
  </si>
  <si>
    <t>V025</t>
  </si>
  <si>
    <t>V045</t>
  </si>
  <si>
    <t>V034</t>
  </si>
  <si>
    <t>V050</t>
  </si>
  <si>
    <t>V016</t>
  </si>
  <si>
    <t>V010</t>
  </si>
  <si>
    <t>V017</t>
  </si>
  <si>
    <t>V031</t>
  </si>
  <si>
    <t>V037</t>
  </si>
  <si>
    <t>V026</t>
  </si>
  <si>
    <t>V012</t>
  </si>
  <si>
    <t>V001</t>
  </si>
  <si>
    <t>V047</t>
  </si>
  <si>
    <t>V028</t>
  </si>
  <si>
    <t>V032</t>
  </si>
  <si>
    <t>V040</t>
  </si>
  <si>
    <t>V030</t>
  </si>
  <si>
    <t>V046</t>
  </si>
  <si>
    <t>V002</t>
  </si>
  <si>
    <t>V022</t>
  </si>
  <si>
    <t>V003</t>
  </si>
  <si>
    <t>V041</t>
  </si>
  <si>
    <t>V036</t>
  </si>
  <si>
    <t>V024</t>
  </si>
  <si>
    <t>V049</t>
  </si>
  <si>
    <t>V011</t>
  </si>
  <si>
    <t>V023</t>
  </si>
  <si>
    <t>V019</t>
  </si>
  <si>
    <t>V021</t>
  </si>
  <si>
    <t>V008</t>
  </si>
  <si>
    <t>V043</t>
  </si>
  <si>
    <t>V015</t>
  </si>
  <si>
    <t>V029</t>
  </si>
  <si>
    <t>V039</t>
  </si>
  <si>
    <t>Visitor_20</t>
  </si>
  <si>
    <t>Visitor_42</t>
  </si>
  <si>
    <t>Visitor_48</t>
  </si>
  <si>
    <t>Visitor_13</t>
  </si>
  <si>
    <t>Visitor_44</t>
  </si>
  <si>
    <t>Visitor_6</t>
  </si>
  <si>
    <t>Visitor_18</t>
  </si>
  <si>
    <t>Visitor_14</t>
  </si>
  <si>
    <t>Visitor_4</t>
  </si>
  <si>
    <t>Visitor_33</t>
  </si>
  <si>
    <t>Visitor_9</t>
  </si>
  <si>
    <t>Visitor_27</t>
  </si>
  <si>
    <t>Visitor_7</t>
  </si>
  <si>
    <t>Visitor_35</t>
  </si>
  <si>
    <t>Visitor_5</t>
  </si>
  <si>
    <t>Visitor_38</t>
  </si>
  <si>
    <t>Visitor_25</t>
  </si>
  <si>
    <t>Visitor_45</t>
  </si>
  <si>
    <t>Visitor_34</t>
  </si>
  <si>
    <t>Visitor_50</t>
  </si>
  <si>
    <t>Visitor_16</t>
  </si>
  <si>
    <t>Visitor_10</t>
  </si>
  <si>
    <t>Visitor_17</t>
  </si>
  <si>
    <t>Visitor_31</t>
  </si>
  <si>
    <t>Visitor_37</t>
  </si>
  <si>
    <t>Visitor_26</t>
  </si>
  <si>
    <t>Visitor_12</t>
  </si>
  <si>
    <t>Visitor_1</t>
  </si>
  <si>
    <t>Visitor_47</t>
  </si>
  <si>
    <t>Visitor_28</t>
  </si>
  <si>
    <t>Visitor_32</t>
  </si>
  <si>
    <t>Visitor_40</t>
  </si>
  <si>
    <t>Visitor_30</t>
  </si>
  <si>
    <t>Visitor_46</t>
  </si>
  <si>
    <t>Visitor_2</t>
  </si>
  <si>
    <t>Visitor_22</t>
  </si>
  <si>
    <t>Visitor_3</t>
  </si>
  <si>
    <t>Visitor_41</t>
  </si>
  <si>
    <t>Visitor_36</t>
  </si>
  <si>
    <t>Visitor_24</t>
  </si>
  <si>
    <t>Visitor_49</t>
  </si>
  <si>
    <t>Visitor_11</t>
  </si>
  <si>
    <t>Visitor_23</t>
  </si>
  <si>
    <t>Visitor_19</t>
  </si>
  <si>
    <t>Visitor_21</t>
  </si>
  <si>
    <t>Visitor_8</t>
  </si>
  <si>
    <t>Visitor_43</t>
  </si>
  <si>
    <t>Visitor_15</t>
  </si>
  <si>
    <t>Visitor_29</t>
  </si>
  <si>
    <t>Visitor_39</t>
  </si>
  <si>
    <t>10:24 am</t>
  </si>
  <si>
    <t>10:05 am</t>
  </si>
  <si>
    <t>11:37 am</t>
  </si>
  <si>
    <t>9:38 am</t>
  </si>
  <si>
    <t>11:52 am</t>
  </si>
  <si>
    <t>9:10 am</t>
  </si>
  <si>
    <t>10:32 am</t>
  </si>
  <si>
    <t>11:49 am</t>
  </si>
  <si>
    <t>10:06 am</t>
  </si>
  <si>
    <t>11:18 am</t>
  </si>
  <si>
    <t>10:31 am</t>
  </si>
  <si>
    <t>9:27 am</t>
  </si>
  <si>
    <t>9:29 am</t>
  </si>
  <si>
    <t>10:57 am</t>
  </si>
  <si>
    <t>9:06 AM</t>
  </si>
  <si>
    <t>10:29 AM</t>
  </si>
  <si>
    <t>10:14 AM</t>
  </si>
  <si>
    <t>9:16 AM</t>
  </si>
  <si>
    <t>9:31 am</t>
  </si>
  <si>
    <t>11:43 am</t>
  </si>
  <si>
    <t>11:15 am</t>
  </si>
  <si>
    <t>11:28 am</t>
  </si>
  <si>
    <t>10:44 am</t>
  </si>
  <si>
    <t>11:36 am</t>
  </si>
  <si>
    <t>11:04 AM</t>
  </si>
  <si>
    <t>11:02 AM</t>
  </si>
  <si>
    <t>9:32 AM</t>
  </si>
  <si>
    <t>9:25 AM</t>
  </si>
  <si>
    <t>10:26 am</t>
  </si>
  <si>
    <t>9:54 AM</t>
  </si>
  <si>
    <t>10:18 AM</t>
  </si>
  <si>
    <t>10:30 AM</t>
  </si>
  <si>
    <t>10:46 AM</t>
  </si>
  <si>
    <t>10:07 AM</t>
  </si>
  <si>
    <t>9:20 AM</t>
  </si>
  <si>
    <t>10:09 am</t>
  </si>
  <si>
    <t>11:22 am</t>
  </si>
  <si>
    <t>11:46 AM</t>
  </si>
  <si>
    <t>10:10 AM</t>
  </si>
  <si>
    <t>10:08 am</t>
  </si>
  <si>
    <t>11:53 am</t>
  </si>
  <si>
    <t>9:12 am</t>
  </si>
  <si>
    <t>11:56 AM</t>
  </si>
  <si>
    <t>10:32 AM</t>
  </si>
  <si>
    <t>10:37 am</t>
  </si>
  <si>
    <t>10:52 AM</t>
  </si>
  <si>
    <t>10:18 am</t>
  </si>
  <si>
    <t>11:06 AM</t>
  </si>
  <si>
    <t>10:56 AM</t>
  </si>
  <si>
    <t>10:15 AM</t>
  </si>
  <si>
    <t>10:34 AM</t>
  </si>
  <si>
    <t>11:10 AM</t>
  </si>
  <si>
    <t>10:59 AM</t>
  </si>
  <si>
    <t>11:31 AM</t>
  </si>
  <si>
    <t>10:08 AM</t>
  </si>
  <si>
    <t>11:26 AM</t>
  </si>
  <si>
    <t>10:45 AM</t>
  </si>
  <si>
    <t>10:53 AM</t>
  </si>
  <si>
    <t>11:44 AM</t>
  </si>
  <si>
    <t>11:51 AM</t>
  </si>
  <si>
    <t>10:35 AM</t>
  </si>
  <si>
    <t>11:43 AM</t>
  </si>
  <si>
    <t>11:50 AM</t>
  </si>
  <si>
    <t>11:05 AM</t>
  </si>
  <si>
    <t>11:15 AM</t>
  </si>
  <si>
    <t>10:51 AM</t>
  </si>
  <si>
    <t>11:45 AM</t>
  </si>
  <si>
    <t>10:16 AM</t>
  </si>
  <si>
    <t>11:16 AM</t>
  </si>
  <si>
    <t>Gallery B</t>
  </si>
  <si>
    <t>Gallery A</t>
  </si>
  <si>
    <t>Gallery B, C</t>
  </si>
  <si>
    <t>Gallery C</t>
  </si>
  <si>
    <t>Gallery A, B</t>
  </si>
  <si>
    <t>None</t>
  </si>
  <si>
    <t>Bag</t>
  </si>
  <si>
    <t>Backpack</t>
  </si>
  <si>
    <t>Purse</t>
  </si>
  <si>
    <t>Friend</t>
  </si>
  <si>
    <t>Staff Relative</t>
  </si>
  <si>
    <t>Yes</t>
  </si>
  <si>
    <t>No</t>
  </si>
  <si>
    <t xml:space="preserve">Uknown </t>
  </si>
  <si>
    <t>Row Labels</t>
  </si>
  <si>
    <t>Sum of Time Near Painting (min)</t>
  </si>
  <si>
    <t>Grand Total</t>
  </si>
  <si>
    <t>Count of Visitor ID</t>
  </si>
  <si>
    <t>TIME</t>
  </si>
  <si>
    <t>Unknown</t>
  </si>
  <si>
    <t>Outcome</t>
  </si>
  <si>
    <t xml:space="preserve">Median </t>
  </si>
  <si>
    <t>Pivot Table</t>
  </si>
  <si>
    <t>Bar Chart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</si>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</sst>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[$-F400]h:mm:ss\ AM/PM"/>
    <numFmt numFmtId="166" formatCode="h:mm:ss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2" applyNumberFormat="0" applyFont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7" borderId="6" applyNumberFormat="0" applyAlignment="0" applyProtection="0"/>
    <xf numFmtId="0" fontId="7" fillId="7" borderId="5" applyNumberFormat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1" applyFont="1" applyAlignment="1">
      <alignment horizontal="center" vertical="top"/>
    </xf>
    <xf numFmtId="0" fontId="0" fillId="2" borderId="2" xfId="1" applyFont="1" applyAlignment="1">
      <alignment horizontal="center"/>
    </xf>
    <xf numFmtId="0" fontId="0" fillId="2" borderId="2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0" xfId="0" applyFont="1" applyAlignment="1">
      <alignment horizontal="center" vertical="top"/>
    </xf>
    <xf numFmtId="0" fontId="0" fillId="4" borderId="0" xfId="0" applyFill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6" fillId="7" borderId="6" xfId="4"/>
    <xf numFmtId="164" fontId="6" fillId="7" borderId="6" xfId="4" applyNumberFormat="1"/>
    <xf numFmtId="0" fontId="6" fillId="7" borderId="6" xfId="4" applyAlignment="1">
      <alignment horizontal="center" vertical="top"/>
    </xf>
    <xf numFmtId="166" fontId="7" fillId="7" borderId="5" xfId="5" applyNumberFormat="1" applyAlignment="1">
      <alignment horizontal="center"/>
    </xf>
    <xf numFmtId="0" fontId="7" fillId="7" borderId="5" xfId="5" applyAlignment="1">
      <alignment horizontal="center"/>
    </xf>
    <xf numFmtId="0" fontId="4" fillId="6" borderId="0" xfId="3" applyAlignment="1">
      <alignment horizontal="center"/>
    </xf>
    <xf numFmtId="0" fontId="6" fillId="2" borderId="2" xfId="1" applyFont="1" applyAlignment="1">
      <alignment horizontal="center" vertical="top"/>
    </xf>
    <xf numFmtId="0" fontId="7" fillId="2" borderId="2" xfId="1" applyFont="1" applyAlignment="1">
      <alignment horizontal="center" vertical="top"/>
    </xf>
    <xf numFmtId="0" fontId="1" fillId="2" borderId="2" xfId="1" applyFont="1" applyAlignment="1">
      <alignment horizontal="center"/>
    </xf>
    <xf numFmtId="0" fontId="3" fillId="5" borderId="0" xfId="2" applyAlignment="1">
      <alignment horizontal="center"/>
    </xf>
    <xf numFmtId="0" fontId="6" fillId="2" borderId="2" xfId="1" applyFont="1" applyAlignment="1">
      <alignment horizontal="center"/>
    </xf>
    <xf numFmtId="0" fontId="4" fillId="6" borderId="6" xfId="3" applyBorder="1" applyAlignment="1">
      <alignment horizontal="center"/>
    </xf>
    <xf numFmtId="0" fontId="3" fillId="5" borderId="6" xfId="2" applyBorder="1" applyAlignment="1">
      <alignment horizontal="center"/>
    </xf>
    <xf numFmtId="0" fontId="8" fillId="4" borderId="2" xfId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18" fontId="6" fillId="2" borderId="2" xfId="1" applyNumberFormat="1" applyFont="1" applyAlignment="1">
      <alignment horizontal="center" vertical="top"/>
    </xf>
    <xf numFmtId="18" fontId="6" fillId="2" borderId="2" xfId="1" applyNumberFormat="1" applyFont="1" applyAlignment="1">
      <alignment horizontal="center"/>
    </xf>
    <xf numFmtId="18" fontId="0" fillId="0" borderId="0" xfId="0" applyNumberFormat="1"/>
    <xf numFmtId="18" fontId="6" fillId="7" borderId="6" xfId="4" applyNumberFormat="1"/>
  </cellXfs>
  <cellStyles count="6">
    <cellStyle name="Bad" xfId="3" builtinId="27"/>
    <cellStyle name="Calculation" xfId="5" builtinId="22"/>
    <cellStyle name="Good" xfId="2" builtinId="26"/>
    <cellStyle name="Normal" xfId="0" builtinId="0"/>
    <cellStyle name="Note" xfId="1" builtinId="10"/>
    <cellStyle name="Output" xfId="4" builtinId="21"/>
  </cellStyles>
  <dxfs count="12"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[Ocasion_Gallery.xlsx]Final!PivotTable4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692058815176759E-2"/>
          <c:y val="1.8709312199264083E-2"/>
          <c:w val="0.87643941382327206"/>
          <c:h val="0.8539012831729366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Final!$B$58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Final!$A$59:$A$109</c:f>
              <c:strCache>
                <c:ptCount val="50"/>
                <c:pt idx="0">
                  <c:v>V001</c:v>
                </c:pt>
                <c:pt idx="1">
                  <c:v>V002</c:v>
                </c:pt>
                <c:pt idx="2">
                  <c:v>V003</c:v>
                </c:pt>
                <c:pt idx="3">
                  <c:v>V004</c:v>
                </c:pt>
                <c:pt idx="4">
                  <c:v>V005</c:v>
                </c:pt>
                <c:pt idx="5">
                  <c:v>V006</c:v>
                </c:pt>
                <c:pt idx="6">
                  <c:v>V007</c:v>
                </c:pt>
                <c:pt idx="7">
                  <c:v>V008</c:v>
                </c:pt>
                <c:pt idx="8">
                  <c:v>V009</c:v>
                </c:pt>
                <c:pt idx="9">
                  <c:v>V010</c:v>
                </c:pt>
                <c:pt idx="10">
                  <c:v>V011</c:v>
                </c:pt>
                <c:pt idx="11">
                  <c:v>V012</c:v>
                </c:pt>
                <c:pt idx="12">
                  <c:v>V013</c:v>
                </c:pt>
                <c:pt idx="13">
                  <c:v>V014</c:v>
                </c:pt>
                <c:pt idx="14">
                  <c:v>V015</c:v>
                </c:pt>
                <c:pt idx="15">
                  <c:v>V016</c:v>
                </c:pt>
                <c:pt idx="16">
                  <c:v>V017</c:v>
                </c:pt>
                <c:pt idx="17">
                  <c:v>V018</c:v>
                </c:pt>
                <c:pt idx="18">
                  <c:v>V019</c:v>
                </c:pt>
                <c:pt idx="19">
                  <c:v>V020</c:v>
                </c:pt>
                <c:pt idx="20">
                  <c:v>V021</c:v>
                </c:pt>
                <c:pt idx="21">
                  <c:v>V022</c:v>
                </c:pt>
                <c:pt idx="22">
                  <c:v>V023</c:v>
                </c:pt>
                <c:pt idx="23">
                  <c:v>V024</c:v>
                </c:pt>
                <c:pt idx="24">
                  <c:v>V025</c:v>
                </c:pt>
                <c:pt idx="25">
                  <c:v>V026</c:v>
                </c:pt>
                <c:pt idx="26">
                  <c:v>V027</c:v>
                </c:pt>
                <c:pt idx="27">
                  <c:v>V028</c:v>
                </c:pt>
                <c:pt idx="28">
                  <c:v>V029</c:v>
                </c:pt>
                <c:pt idx="29">
                  <c:v>V030</c:v>
                </c:pt>
                <c:pt idx="30">
                  <c:v>V031</c:v>
                </c:pt>
                <c:pt idx="31">
                  <c:v>V032</c:v>
                </c:pt>
                <c:pt idx="32">
                  <c:v>V033</c:v>
                </c:pt>
                <c:pt idx="33">
                  <c:v>V034</c:v>
                </c:pt>
                <c:pt idx="34">
                  <c:v>V035</c:v>
                </c:pt>
                <c:pt idx="35">
                  <c:v>V036</c:v>
                </c:pt>
                <c:pt idx="36">
                  <c:v>V037</c:v>
                </c:pt>
                <c:pt idx="37">
                  <c:v>V038</c:v>
                </c:pt>
                <c:pt idx="38">
                  <c:v>V039</c:v>
                </c:pt>
                <c:pt idx="39">
                  <c:v>V040</c:v>
                </c:pt>
                <c:pt idx="40">
                  <c:v>V041</c:v>
                </c:pt>
                <c:pt idx="41">
                  <c:v>V042</c:v>
                </c:pt>
                <c:pt idx="42">
                  <c:v>V043</c:v>
                </c:pt>
                <c:pt idx="43">
                  <c:v>V044</c:v>
                </c:pt>
                <c:pt idx="44">
                  <c:v>V045</c:v>
                </c:pt>
                <c:pt idx="45">
                  <c:v>V046</c:v>
                </c:pt>
                <c:pt idx="46">
                  <c:v>V047</c:v>
                </c:pt>
                <c:pt idx="47">
                  <c:v>V048</c:v>
                </c:pt>
                <c:pt idx="48">
                  <c:v>V049</c:v>
                </c:pt>
                <c:pt idx="49">
                  <c:v>V050</c:v>
                </c:pt>
              </c:strCache>
            </c:strRef>
          </c:cat>
          <c:val>
            <c:numRef>
              <c:f>Final!$B$59:$B$109</c:f>
              <c:numCache>
                <c:formatCode>General</c:formatCode>
                <c:ptCount val="50"/>
                <c:pt idx="0">
                  <c:v>24</c:v>
                </c:pt>
                <c:pt idx="1">
                  <c:v>13</c:v>
                </c:pt>
                <c:pt idx="2">
                  <c:v>20</c:v>
                </c:pt>
                <c:pt idx="3">
                  <c:v>21</c:v>
                </c:pt>
                <c:pt idx="4">
                  <c:v>10</c:v>
                </c:pt>
                <c:pt idx="5">
                  <c:v>13</c:v>
                </c:pt>
                <c:pt idx="6">
                  <c:v>24</c:v>
                </c:pt>
                <c:pt idx="7">
                  <c:v>9</c:v>
                </c:pt>
                <c:pt idx="8">
                  <c:v>1</c:v>
                </c:pt>
                <c:pt idx="9">
                  <c:v>13</c:v>
                </c:pt>
                <c:pt idx="10">
                  <c:v>25</c:v>
                </c:pt>
                <c:pt idx="11">
                  <c:v>19</c:v>
                </c:pt>
                <c:pt idx="12">
                  <c:v>7</c:v>
                </c:pt>
                <c:pt idx="13">
                  <c:v>4</c:v>
                </c:pt>
                <c:pt idx="14">
                  <c:v>12</c:v>
                </c:pt>
                <c:pt idx="15">
                  <c:v>13</c:v>
                </c:pt>
                <c:pt idx="16">
                  <c:v>3</c:v>
                </c:pt>
                <c:pt idx="17">
                  <c:v>2</c:v>
                </c:pt>
                <c:pt idx="18">
                  <c:v>23</c:v>
                </c:pt>
                <c:pt idx="19">
                  <c:v>4</c:v>
                </c:pt>
                <c:pt idx="20">
                  <c:v>19</c:v>
                </c:pt>
                <c:pt idx="21">
                  <c:v>13</c:v>
                </c:pt>
                <c:pt idx="22">
                  <c:v>25</c:v>
                </c:pt>
                <c:pt idx="23">
                  <c:v>2</c:v>
                </c:pt>
                <c:pt idx="24">
                  <c:v>13</c:v>
                </c:pt>
                <c:pt idx="25">
                  <c:v>15</c:v>
                </c:pt>
                <c:pt idx="26">
                  <c:v>16</c:v>
                </c:pt>
                <c:pt idx="27">
                  <c:v>21</c:v>
                </c:pt>
                <c:pt idx="28">
                  <c:v>13</c:v>
                </c:pt>
                <c:pt idx="29">
                  <c:v>13</c:v>
                </c:pt>
                <c:pt idx="30">
                  <c:v>26</c:v>
                </c:pt>
                <c:pt idx="31">
                  <c:v>16</c:v>
                </c:pt>
                <c:pt idx="32">
                  <c:v>0</c:v>
                </c:pt>
                <c:pt idx="33">
                  <c:v>6</c:v>
                </c:pt>
                <c:pt idx="34">
                  <c:v>4</c:v>
                </c:pt>
                <c:pt idx="35">
                  <c:v>15</c:v>
                </c:pt>
                <c:pt idx="36">
                  <c:v>5</c:v>
                </c:pt>
                <c:pt idx="37">
                  <c:v>10</c:v>
                </c:pt>
                <c:pt idx="38">
                  <c:v>7</c:v>
                </c:pt>
                <c:pt idx="39">
                  <c:v>48</c:v>
                </c:pt>
                <c:pt idx="40">
                  <c:v>10</c:v>
                </c:pt>
                <c:pt idx="41">
                  <c:v>13</c:v>
                </c:pt>
                <c:pt idx="42">
                  <c:v>13</c:v>
                </c:pt>
                <c:pt idx="43">
                  <c:v>2</c:v>
                </c:pt>
                <c:pt idx="44">
                  <c:v>5</c:v>
                </c:pt>
                <c:pt idx="45">
                  <c:v>17</c:v>
                </c:pt>
                <c:pt idx="46">
                  <c:v>16</c:v>
                </c:pt>
                <c:pt idx="47">
                  <c:v>20</c:v>
                </c:pt>
                <c:pt idx="48">
                  <c:v>13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7-4360-9317-4EC9F9D24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1335488"/>
        <c:axId val="1481334528"/>
        <c:axId val="1229022847"/>
      </c:bar3DChart>
      <c:catAx>
        <c:axId val="14813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34528"/>
        <c:crosses val="autoZero"/>
        <c:auto val="1"/>
        <c:lblAlgn val="ctr"/>
        <c:lblOffset val="100"/>
        <c:noMultiLvlLbl val="0"/>
      </c:catAx>
      <c:valAx>
        <c:axId val="14813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35488"/>
        <c:crosses val="autoZero"/>
        <c:crossBetween val="between"/>
      </c:valAx>
      <c:serAx>
        <c:axId val="122902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3452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[Ocasion_Gallery.xlsx]Test 4!PivotTable1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4'!$N$1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4'!$M$2:$M$52</c:f>
              <c:strCache>
                <c:ptCount val="50"/>
                <c:pt idx="0">
                  <c:v>V001</c:v>
                </c:pt>
                <c:pt idx="1">
                  <c:v>V002</c:v>
                </c:pt>
                <c:pt idx="2">
                  <c:v>V003</c:v>
                </c:pt>
                <c:pt idx="3">
                  <c:v>V004</c:v>
                </c:pt>
                <c:pt idx="4">
                  <c:v>V005</c:v>
                </c:pt>
                <c:pt idx="5">
                  <c:v>V006</c:v>
                </c:pt>
                <c:pt idx="6">
                  <c:v>V007</c:v>
                </c:pt>
                <c:pt idx="7">
                  <c:v>V008</c:v>
                </c:pt>
                <c:pt idx="8">
                  <c:v>V009</c:v>
                </c:pt>
                <c:pt idx="9">
                  <c:v>V010</c:v>
                </c:pt>
                <c:pt idx="10">
                  <c:v>V011</c:v>
                </c:pt>
                <c:pt idx="11">
                  <c:v>V012</c:v>
                </c:pt>
                <c:pt idx="12">
                  <c:v>V013</c:v>
                </c:pt>
                <c:pt idx="13">
                  <c:v>V014</c:v>
                </c:pt>
                <c:pt idx="14">
                  <c:v>V015</c:v>
                </c:pt>
                <c:pt idx="15">
                  <c:v>V016</c:v>
                </c:pt>
                <c:pt idx="16">
                  <c:v>V017</c:v>
                </c:pt>
                <c:pt idx="17">
                  <c:v>V018</c:v>
                </c:pt>
                <c:pt idx="18">
                  <c:v>V019</c:v>
                </c:pt>
                <c:pt idx="19">
                  <c:v>V020</c:v>
                </c:pt>
                <c:pt idx="20">
                  <c:v>V021</c:v>
                </c:pt>
                <c:pt idx="21">
                  <c:v>V022</c:v>
                </c:pt>
                <c:pt idx="22">
                  <c:v>V023</c:v>
                </c:pt>
                <c:pt idx="23">
                  <c:v>V024</c:v>
                </c:pt>
                <c:pt idx="24">
                  <c:v>V025</c:v>
                </c:pt>
                <c:pt idx="25">
                  <c:v>V026</c:v>
                </c:pt>
                <c:pt idx="26">
                  <c:v>V027</c:v>
                </c:pt>
                <c:pt idx="27">
                  <c:v>V028</c:v>
                </c:pt>
                <c:pt idx="28">
                  <c:v>V029</c:v>
                </c:pt>
                <c:pt idx="29">
                  <c:v>V030</c:v>
                </c:pt>
                <c:pt idx="30">
                  <c:v>V031</c:v>
                </c:pt>
                <c:pt idx="31">
                  <c:v>V032</c:v>
                </c:pt>
                <c:pt idx="32">
                  <c:v>V033</c:v>
                </c:pt>
                <c:pt idx="33">
                  <c:v>V034</c:v>
                </c:pt>
                <c:pt idx="34">
                  <c:v>V035</c:v>
                </c:pt>
                <c:pt idx="35">
                  <c:v>V036</c:v>
                </c:pt>
                <c:pt idx="36">
                  <c:v>V037</c:v>
                </c:pt>
                <c:pt idx="37">
                  <c:v>V038</c:v>
                </c:pt>
                <c:pt idx="38">
                  <c:v>V039</c:v>
                </c:pt>
                <c:pt idx="39">
                  <c:v>V040</c:v>
                </c:pt>
                <c:pt idx="40">
                  <c:v>V041</c:v>
                </c:pt>
                <c:pt idx="41">
                  <c:v>V042</c:v>
                </c:pt>
                <c:pt idx="42">
                  <c:v>V043</c:v>
                </c:pt>
                <c:pt idx="43">
                  <c:v>V044</c:v>
                </c:pt>
                <c:pt idx="44">
                  <c:v>V045</c:v>
                </c:pt>
                <c:pt idx="45">
                  <c:v>V046</c:v>
                </c:pt>
                <c:pt idx="46">
                  <c:v>V047</c:v>
                </c:pt>
                <c:pt idx="47">
                  <c:v>V048</c:v>
                </c:pt>
                <c:pt idx="48">
                  <c:v>V049</c:v>
                </c:pt>
                <c:pt idx="49">
                  <c:v>V050</c:v>
                </c:pt>
              </c:strCache>
            </c:strRef>
          </c:cat>
          <c:val>
            <c:numRef>
              <c:f>'Test 4'!$N$2:$N$52</c:f>
              <c:numCache>
                <c:formatCode>General</c:formatCode>
                <c:ptCount val="50"/>
                <c:pt idx="0">
                  <c:v>24</c:v>
                </c:pt>
                <c:pt idx="1">
                  <c:v>13</c:v>
                </c:pt>
                <c:pt idx="2">
                  <c:v>20</c:v>
                </c:pt>
                <c:pt idx="3">
                  <c:v>21</c:v>
                </c:pt>
                <c:pt idx="4">
                  <c:v>10</c:v>
                </c:pt>
                <c:pt idx="5">
                  <c:v>13</c:v>
                </c:pt>
                <c:pt idx="6">
                  <c:v>24</c:v>
                </c:pt>
                <c:pt idx="7">
                  <c:v>9</c:v>
                </c:pt>
                <c:pt idx="8">
                  <c:v>1</c:v>
                </c:pt>
                <c:pt idx="9">
                  <c:v>13</c:v>
                </c:pt>
                <c:pt idx="10">
                  <c:v>25</c:v>
                </c:pt>
                <c:pt idx="11">
                  <c:v>19</c:v>
                </c:pt>
                <c:pt idx="12">
                  <c:v>7</c:v>
                </c:pt>
                <c:pt idx="13">
                  <c:v>4</c:v>
                </c:pt>
                <c:pt idx="14">
                  <c:v>12</c:v>
                </c:pt>
                <c:pt idx="15">
                  <c:v>13</c:v>
                </c:pt>
                <c:pt idx="16">
                  <c:v>3</c:v>
                </c:pt>
                <c:pt idx="17">
                  <c:v>2</c:v>
                </c:pt>
                <c:pt idx="18">
                  <c:v>23</c:v>
                </c:pt>
                <c:pt idx="19">
                  <c:v>4</c:v>
                </c:pt>
                <c:pt idx="20">
                  <c:v>19</c:v>
                </c:pt>
                <c:pt idx="21">
                  <c:v>13</c:v>
                </c:pt>
                <c:pt idx="22">
                  <c:v>25</c:v>
                </c:pt>
                <c:pt idx="23">
                  <c:v>2</c:v>
                </c:pt>
                <c:pt idx="24">
                  <c:v>13</c:v>
                </c:pt>
                <c:pt idx="25">
                  <c:v>15</c:v>
                </c:pt>
                <c:pt idx="26">
                  <c:v>16</c:v>
                </c:pt>
                <c:pt idx="27">
                  <c:v>21</c:v>
                </c:pt>
                <c:pt idx="28">
                  <c:v>13</c:v>
                </c:pt>
                <c:pt idx="29">
                  <c:v>13</c:v>
                </c:pt>
                <c:pt idx="30">
                  <c:v>26</c:v>
                </c:pt>
                <c:pt idx="31">
                  <c:v>16</c:v>
                </c:pt>
                <c:pt idx="32">
                  <c:v>0</c:v>
                </c:pt>
                <c:pt idx="33">
                  <c:v>6</c:v>
                </c:pt>
                <c:pt idx="34">
                  <c:v>4</c:v>
                </c:pt>
                <c:pt idx="35">
                  <c:v>15</c:v>
                </c:pt>
                <c:pt idx="36">
                  <c:v>5</c:v>
                </c:pt>
                <c:pt idx="37">
                  <c:v>10</c:v>
                </c:pt>
                <c:pt idx="38">
                  <c:v>7</c:v>
                </c:pt>
                <c:pt idx="39">
                  <c:v>48</c:v>
                </c:pt>
                <c:pt idx="40">
                  <c:v>10</c:v>
                </c:pt>
                <c:pt idx="41">
                  <c:v>13</c:v>
                </c:pt>
                <c:pt idx="42">
                  <c:v>13</c:v>
                </c:pt>
                <c:pt idx="43">
                  <c:v>2</c:v>
                </c:pt>
                <c:pt idx="44">
                  <c:v>5</c:v>
                </c:pt>
                <c:pt idx="45">
                  <c:v>17</c:v>
                </c:pt>
                <c:pt idx="46">
                  <c:v>16</c:v>
                </c:pt>
                <c:pt idx="47">
                  <c:v>20</c:v>
                </c:pt>
                <c:pt idx="48">
                  <c:v>13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5-4C41-900F-34F34705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56783"/>
        <c:axId val="1248353903"/>
      </c:barChart>
      <c:catAx>
        <c:axId val="124835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53903"/>
        <c:crosses val="autoZero"/>
        <c:auto val="1"/>
        <c:lblAlgn val="ctr"/>
        <c:lblOffset val="100"/>
        <c:noMultiLvlLbl val="0"/>
      </c:catAx>
      <c:valAx>
        <c:axId val="12483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5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16845</xdr:colOff>
      <xdr:row>78</xdr:row>
      <xdr:rowOff>188284</xdr:rowOff>
    </xdr:from>
    <xdr:to>
      <xdr:col>8</xdr:col>
      <xdr:colOff>1838547</xdr:colOff>
      <xdr:row>84</xdr:row>
      <xdr:rowOff>90829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911F5CC-08E6-E3C3-7FA5-4F7A5A8ADA07}"/>
            </a:ext>
          </a:extLst>
        </xdr:cNvPr>
        <xdr:cNvSpPr txBox="1"/>
      </xdr:nvSpPr>
      <xdr:spPr>
        <a:xfrm>
          <a:off x="3029403" y="14874505"/>
          <a:ext cx="12432109" cy="10322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PH" sz="1100" kern="1200"/>
            <a:t>The painting was lost at Gallery B at 10:45 AM, since there were 53 accounted visitors,</a:t>
          </a:r>
          <a:r>
            <a:rPr lang="en-PH" sz="1100" kern="1200" baseline="0"/>
            <a:t> </a:t>
          </a:r>
          <a:r>
            <a:rPr lang="en-PH" sz="1100" kern="1200"/>
            <a:t>the determining the suspect poses a great challenge. Using the data provided in excel</a:t>
          </a:r>
          <a:r>
            <a:rPr lang="en-PH" sz="1100" kern="1200" baseline="0"/>
            <a:t> </a:t>
          </a:r>
          <a:r>
            <a:rPr lang="en-PH" sz="1100" kern="1200"/>
            <a:t>format, we have to check on any errors in the formatting, particularly the time. We have</a:t>
          </a:r>
          <a:r>
            <a:rPr lang="en-PH" sz="1100" kern="1200" baseline="0"/>
            <a:t> </a:t>
          </a:r>
          <a:r>
            <a:rPr lang="en-PH" sz="1100" kern="1200"/>
            <a:t>to use the 12 hour format for both the entry and exit time to determine the total number</a:t>
          </a:r>
          <a:r>
            <a:rPr lang="en-PH" sz="1100" kern="1200" baseline="0"/>
            <a:t> </a:t>
          </a:r>
          <a:r>
            <a:rPr lang="en-PH" sz="1100" kern="1200"/>
            <a:t>of hours they spent on the galleries. Having given the time spent near the painting, and</a:t>
          </a:r>
          <a:r>
            <a:rPr lang="en-PH" sz="1100" kern="1200" baseline="0"/>
            <a:t> </a:t>
          </a:r>
          <a:r>
            <a:rPr lang="en-PH" sz="1100" kern="1200"/>
            <a:t>the location visited, we can deviate from the data those who went to gallery B. Using</a:t>
          </a:r>
          <a:r>
            <a:rPr lang="en-PH" sz="1100" kern="1200" baseline="0"/>
            <a:t> </a:t>
          </a:r>
          <a:r>
            <a:rPr lang="en-PH" sz="1100" kern="1200"/>
            <a:t>the pivot table , we can come up with the number of persons who visited gallery B who</a:t>
          </a:r>
        </a:p>
        <a:p>
          <a:pPr algn="l"/>
          <a:r>
            <a:rPr lang="en-PH" sz="1100" kern="1200"/>
            <a:t>spent time in said area to streamline the possible suspects. Using the median to</a:t>
          </a:r>
          <a:r>
            <a:rPr lang="en-PH" sz="1100" kern="1200" baseline="0"/>
            <a:t> </a:t>
          </a:r>
          <a:r>
            <a:rPr lang="en-PH" sz="1100" kern="1200"/>
            <a:t>provide data for those with out time i on the given table to complete the information</a:t>
          </a:r>
        </a:p>
        <a:p>
          <a:pPr algn="l"/>
          <a:r>
            <a:rPr lang="en-PH" sz="1100" kern="1200"/>
            <a:t>needed , we were able to determine Visitor V42 as the main suspect in the stealing of</a:t>
          </a:r>
          <a:r>
            <a:rPr lang="en-PH" sz="1100" kern="1200" baseline="0"/>
            <a:t> </a:t>
          </a:r>
          <a:r>
            <a:rPr lang="en-PH" sz="1100" kern="1200"/>
            <a:t>the painting.</a:t>
          </a:r>
        </a:p>
      </xdr:txBody>
    </xdr:sp>
    <xdr:clientData/>
  </xdr:twoCellAnchor>
  <xdr:twoCellAnchor>
    <xdr:from>
      <xdr:col>2</xdr:col>
      <xdr:colOff>11804</xdr:colOff>
      <xdr:row>56</xdr:row>
      <xdr:rowOff>177617</xdr:rowOff>
    </xdr:from>
    <xdr:to>
      <xdr:col>8</xdr:col>
      <xdr:colOff>1866615</xdr:colOff>
      <xdr:row>77</xdr:row>
      <xdr:rowOff>3944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374E1-1D53-FAB8-E2D4-0835076AA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12</xdr:row>
      <xdr:rowOff>166687</xdr:rowOff>
    </xdr:from>
    <xdr:to>
      <xdr:col>21</xdr:col>
      <xdr:colOff>28575</xdr:colOff>
      <xdr:row>32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B069C-466B-6D49-4FD9-C46804E1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salm Gumball" refreshedDate="45679.902570949074" createdVersion="8" refreshedVersion="8" minRefreshableVersion="3" recordCount="53" xr:uid="{59550096-CE65-4E56-855A-401DA63A2121}">
  <cacheSource type="worksheet">
    <worksheetSource ref="A1:I54" sheet="Final"/>
  </cacheSource>
  <cacheFields count="9">
    <cacheField name="Visitor ID" numFmtId="0">
      <sharedItems count="50">
        <s v="V020"/>
        <s v="V042"/>
        <s v="V048"/>
        <s v="V013"/>
        <s v="V044"/>
        <s v="V006"/>
        <s v="V018"/>
        <s v="V014"/>
        <s v="V004"/>
        <s v="V033"/>
        <s v="V009"/>
        <s v="V027"/>
        <s v="V007"/>
        <s v="V035"/>
        <s v="V005"/>
        <s v="V038"/>
        <s v="V025"/>
        <s v="V045"/>
        <s v="V034"/>
        <s v="V050"/>
        <s v="V016"/>
        <s v="V010"/>
        <s v="V017"/>
        <s v="V031"/>
        <s v="V037"/>
        <s v="V026"/>
        <s v="V012"/>
        <s v="V001"/>
        <s v="V047"/>
        <s v="V028"/>
        <s v="V032"/>
        <s v="V040"/>
        <s v="V030"/>
        <s v="V046"/>
        <s v="V002"/>
        <s v="V022"/>
        <s v="V003"/>
        <s v="V041"/>
        <s v="V036"/>
        <s v="V024"/>
        <s v="V049"/>
        <s v="V011"/>
        <s v="V023"/>
        <s v="V019"/>
        <s v="V021"/>
        <s v="V008"/>
        <s v="V043"/>
        <s v="V015"/>
        <s v="V029"/>
        <s v="V039"/>
      </sharedItems>
    </cacheField>
    <cacheField name="Name" numFmtId="0">
      <sharedItems count="50">
        <s v="Visitor_20"/>
        <s v="Visitor_42"/>
        <s v="Visitor_48"/>
        <s v="Visitor_13"/>
        <s v="Visitor_44"/>
        <s v="Visitor_6"/>
        <s v="Visitor_18"/>
        <s v="Visitor_14"/>
        <s v="Visitor_4"/>
        <s v="Visitor_33"/>
        <s v="Visitor_9"/>
        <s v="Visitor_27"/>
        <s v="Visitor_7"/>
        <s v="Visitor_35"/>
        <s v="Visitor_5"/>
        <s v="Visitor_38"/>
        <s v="Visitor_25"/>
        <s v="Visitor_45"/>
        <s v="Visitor_34"/>
        <s v="Visitor_50"/>
        <s v="Visitor_16"/>
        <s v="Visitor_10"/>
        <s v="Visitor_17"/>
        <s v="Visitor_31"/>
        <s v="Visitor_37"/>
        <s v="Visitor_26"/>
        <s v="Visitor_12"/>
        <s v="Visitor_1"/>
        <s v="Visitor_47"/>
        <s v="Visitor_28"/>
        <s v="Visitor_32"/>
        <s v="Visitor_40"/>
        <s v="Visitor_30"/>
        <s v="Visitor_46"/>
        <s v="Visitor_2"/>
        <s v="Visitor_22"/>
        <s v="Visitor_3"/>
        <s v="Visitor_41"/>
        <s v="Visitor_36"/>
        <s v="Visitor_24"/>
        <s v="Visitor_49"/>
        <s v="Visitor_11"/>
        <s v="Visitor_23"/>
        <s v="Visitor_19"/>
        <s v="Visitor_21"/>
        <s v="Visitor_8"/>
        <s v="Visitor_43"/>
        <s v="Visitor_15"/>
        <s v="Visitor_29"/>
        <s v="Visitor_39"/>
      </sharedItems>
    </cacheField>
    <cacheField name="Entry Time" numFmtId="164">
      <sharedItems/>
    </cacheField>
    <cacheField name="Exit Time" numFmtId="164">
      <sharedItems/>
    </cacheField>
    <cacheField name="Location Visited" numFmtId="0">
      <sharedItems/>
    </cacheField>
    <cacheField name="Items Carried" numFmtId="0">
      <sharedItems/>
    </cacheField>
    <cacheField name="Relation to Staff" numFmtId="0">
      <sharedItems count="4">
        <s v="Friend"/>
        <s v="Staff Relative"/>
        <s v="None"/>
        <s v="Uknown "/>
      </sharedItems>
    </cacheField>
    <cacheField name="Suspicious Behavior" numFmtId="0">
      <sharedItems/>
    </cacheField>
    <cacheField name="Time Near Painting (min)" numFmtId="0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el Ocasion" refreshedDate="45681.143145138885" createdVersion="8" refreshedVersion="8" minRefreshableVersion="3" recordCount="53" xr:uid="{C70FAD24-942A-4AC4-ACB8-AD1226ACE5A6}">
  <cacheSource type="worksheet">
    <worksheetSource ref="A1:L54" sheet="Test 4"/>
  </cacheSource>
  <cacheFields count="12">
    <cacheField name="Visitor ID" numFmtId="0">
      <sharedItems count="50">
        <s v="V020"/>
        <s v="V042"/>
        <s v="V048"/>
        <s v="V013"/>
        <s v="V044"/>
        <s v="V006"/>
        <s v="V018"/>
        <s v="V014"/>
        <s v="V004"/>
        <s v="V033"/>
        <s v="V009"/>
        <s v="V027"/>
        <s v="V007"/>
        <s v="V035"/>
        <s v="V005"/>
        <s v="V038"/>
        <s v="V025"/>
        <s v="V045"/>
        <s v="V034"/>
        <s v="V050"/>
        <s v="V016"/>
        <s v="V010"/>
        <s v="V017"/>
        <s v="V031"/>
        <s v="V037"/>
        <s v="V026"/>
        <s v="V012"/>
        <s v="V001"/>
        <s v="V047"/>
        <s v="V028"/>
        <s v="V032"/>
        <s v="V040"/>
        <s v="V030"/>
        <s v="V046"/>
        <s v="V002"/>
        <s v="V022"/>
        <s v="V003"/>
        <s v="V041"/>
        <s v="V036"/>
        <s v="V024"/>
        <s v="V049"/>
        <s v="V011"/>
        <s v="V023"/>
        <s v="V019"/>
        <s v="V021"/>
        <s v="V008"/>
        <s v="V043"/>
        <s v="V015"/>
        <s v="V029"/>
        <s v="V039"/>
      </sharedItems>
    </cacheField>
    <cacheField name="Name" numFmtId="0">
      <sharedItems/>
    </cacheField>
    <cacheField name="Entry Time" numFmtId="0">
      <sharedItems containsDate="1" containsMixedTypes="1" minDate="1899-12-30T09:10:00" maxDate="1899-12-30T11:52:00"/>
    </cacheField>
    <cacheField name="Exit Time" numFmtId="164">
      <sharedItems containsDate="1" containsMixedTypes="1" minDate="1899-12-30T12:10:00" maxDate="1899-12-30T23:51:00"/>
    </cacheField>
    <cacheField name="Location Visited" numFmtId="0">
      <sharedItems/>
    </cacheField>
    <cacheField name="Items Carried" numFmtId="0">
      <sharedItems/>
    </cacheField>
    <cacheField name="Relation to Staff" numFmtId="0">
      <sharedItems/>
    </cacheField>
    <cacheField name="Suspicious Behavior" numFmtId="0">
      <sharedItems/>
    </cacheField>
    <cacheField name="Time Near Painting (min)" numFmtId="0">
      <sharedItems containsSemiMixedTypes="0" containsString="0" containsNumber="1" containsInteger="1" minValue="0" maxValue="25"/>
    </cacheField>
    <cacheField name="TIME" numFmtId="166">
      <sharedItems containsSemiMixedTypes="0" containsNonDate="0" containsDate="1" containsString="0" minDate="1899-12-30T00:06:00" maxDate="1899-12-30T11:58:00"/>
    </cacheField>
    <cacheField name="Outcome" numFmtId="0">
      <sharedItems/>
    </cacheField>
    <cacheField name="Median " numFmtId="0">
      <sharedItems containsSemiMixedTypes="0" containsString="0" containsNumber="1" minValue="7" maxValue="1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el Ocasion" refreshedDate="45681.145931018516" createdVersion="8" refreshedVersion="8" minRefreshableVersion="3" recordCount="53" xr:uid="{94184CEC-E3D0-49F8-BBDB-46227E9BF3AE}">
  <cacheSource type="worksheet">
    <worksheetSource ref="A1:K54" sheet="Final"/>
  </cacheSource>
  <cacheFields count="13">
    <cacheField name="Visitor ID" numFmtId="0">
      <sharedItems count="50">
        <s v="V020"/>
        <s v="V042"/>
        <s v="V048"/>
        <s v="V013"/>
        <s v="V044"/>
        <s v="V006"/>
        <s v="V018"/>
        <s v="V014"/>
        <s v="V004"/>
        <s v="V033"/>
        <s v="V009"/>
        <s v="V027"/>
        <s v="V007"/>
        <s v="V035"/>
        <s v="V005"/>
        <s v="V038"/>
        <s v="V025"/>
        <s v="V045"/>
        <s v="V034"/>
        <s v="V050"/>
        <s v="V016"/>
        <s v="V010"/>
        <s v="V017"/>
        <s v="V031"/>
        <s v="V037"/>
        <s v="V026"/>
        <s v="V012"/>
        <s v="V001"/>
        <s v="V047"/>
        <s v="V028"/>
        <s v="V032"/>
        <s v="V040"/>
        <s v="V030"/>
        <s v="V046"/>
        <s v="V002"/>
        <s v="V022"/>
        <s v="V003"/>
        <s v="V041"/>
        <s v="V036"/>
        <s v="V024"/>
        <s v="V049"/>
        <s v="V011"/>
        <s v="V023"/>
        <s v="V019"/>
        <s v="V021"/>
        <s v="V008"/>
        <s v="V043"/>
        <s v="V015"/>
        <s v="V029"/>
        <s v="V039"/>
      </sharedItems>
    </cacheField>
    <cacheField name="Name" numFmtId="0">
      <sharedItems count="50">
        <s v="Visitor_20"/>
        <s v="Visitor_42"/>
        <s v="Visitor_48"/>
        <s v="Visitor_13"/>
        <s v="Visitor_44"/>
        <s v="Visitor_6"/>
        <s v="Visitor_18"/>
        <s v="Visitor_14"/>
        <s v="Visitor_4"/>
        <s v="Visitor_33"/>
        <s v="Visitor_9"/>
        <s v="Visitor_27"/>
        <s v="Visitor_7"/>
        <s v="Visitor_35"/>
        <s v="Visitor_5"/>
        <s v="Visitor_38"/>
        <s v="Visitor_25"/>
        <s v="Visitor_45"/>
        <s v="Visitor_34"/>
        <s v="Visitor_50"/>
        <s v="Visitor_16"/>
        <s v="Visitor_10"/>
        <s v="Visitor_17"/>
        <s v="Visitor_31"/>
        <s v="Visitor_37"/>
        <s v="Visitor_26"/>
        <s v="Visitor_12"/>
        <s v="Visitor_1"/>
        <s v="Visitor_47"/>
        <s v="Visitor_28"/>
        <s v="Visitor_32"/>
        <s v="Visitor_40"/>
        <s v="Visitor_30"/>
        <s v="Visitor_46"/>
        <s v="Visitor_2"/>
        <s v="Visitor_22"/>
        <s v="Visitor_3"/>
        <s v="Visitor_41"/>
        <s v="Visitor_36"/>
        <s v="Visitor_24"/>
        <s v="Visitor_49"/>
        <s v="Visitor_11"/>
        <s v="Visitor_23"/>
        <s v="Visitor_19"/>
        <s v="Visitor_21"/>
        <s v="Visitor_8"/>
        <s v="Visitor_43"/>
        <s v="Visitor_15"/>
        <s v="Visitor_29"/>
        <s v="Visitor_39"/>
      </sharedItems>
    </cacheField>
    <cacheField name="Entry Time" numFmtId="0">
      <sharedItems containsDate="1" containsMixedTypes="1" minDate="1899-12-30T09:10:00" maxDate="1899-12-30T11:52:00" count="47">
        <d v="1899-12-30T10:24:00"/>
        <d v="1899-12-30T10:05:00"/>
        <d v="1899-12-30T11:37:00"/>
        <d v="1899-12-30T09:38:00"/>
        <d v="1899-12-30T11:52:00"/>
        <d v="1899-12-30T09:10:00"/>
        <d v="1899-12-30T10:32:00"/>
        <s v="11:49 am"/>
        <s v="10:06 am"/>
        <s v="11:18 am"/>
        <s v="10:31 am"/>
        <s v="9:27 am"/>
        <s v="9:29 am"/>
        <s v="10:57 am"/>
        <s v="9:06 AM"/>
        <s v="10:29 AM"/>
        <s v="10:14 AM"/>
        <s v="9:16 AM"/>
        <s v="9:31 am"/>
        <s v="11:43 am"/>
        <s v="11:15 am"/>
        <s v="11:28 am"/>
        <s v="10:44 am"/>
        <s v="11:36 am"/>
        <s v="11:04 AM"/>
        <s v="11:02 AM"/>
        <s v="9:32 AM"/>
        <s v="9:25 AM"/>
        <s v="10:26 am"/>
        <s v="9:54 AM"/>
        <s v="10:18 AM"/>
        <s v="10:30 AM"/>
        <s v="10:46 AM"/>
        <s v="10:07 AM"/>
        <s v="9:20 AM"/>
        <s v="10:09 am"/>
        <s v="11:22 am"/>
        <s v="11:46 AM"/>
        <s v="10:10 AM"/>
        <s v="10:08 am"/>
        <s v="11:53 am"/>
        <s v="9:12 am"/>
        <s v="11:56 AM"/>
        <s v="10:32 AM"/>
        <s v="10:37 am"/>
        <s v="10:52 AM"/>
        <s v="11:06 AM"/>
      </sharedItems>
    </cacheField>
    <cacheField name="Exit Time" numFmtId="164">
      <sharedItems containsDate="1" containsMixedTypes="1" minDate="1899-12-30T12:10:00" maxDate="1899-12-30T23:51:00" count="44">
        <s v="10:56 AM"/>
        <d v="1899-12-30T12:20:00"/>
        <d v="1899-12-30T22:15:00"/>
        <s v="10:34 AM"/>
        <d v="1899-12-30T23:10:00"/>
        <d v="1899-12-30T22:59:00"/>
        <d v="1899-12-30T12:28:00"/>
        <d v="1899-12-30T22:19:00"/>
        <s v="11:31 AM"/>
        <d v="1899-12-30T12:13:00"/>
        <d v="1899-12-30T12:59:00"/>
        <s v="10:08 AM"/>
        <d v="1899-12-30T12:26:00"/>
        <s v="11:26 AM"/>
        <s v="10:45 AM"/>
        <d v="1899-12-30T23:07:00"/>
        <s v="10:53 AM"/>
        <s v="11:44 AM"/>
        <d v="1899-12-30T22:28:00"/>
        <s v="11:51 AM"/>
        <d v="1899-12-30T12:10:00"/>
        <d v="1899-12-30T22:06:00"/>
        <s v="10:35 AM"/>
        <s v="11:43 AM"/>
        <s v="11:50 AM"/>
        <s v="10:15 AM"/>
        <s v="11:05 AM"/>
        <d v="1899-12-30T12:41:00"/>
        <s v="11:15 AM"/>
        <d v="1899-12-30T12:58:00"/>
        <d v="1899-12-30T12:47:00"/>
        <s v="10:52 AM"/>
        <d v="1899-12-30T22:50:00"/>
        <d v="1899-12-30T12:37:00"/>
        <s v="11:10 AM"/>
        <d v="1899-12-30T23:09:00"/>
        <s v="10:59 AM"/>
        <d v="1899-12-30T23:51:00"/>
        <s v="10:51 AM"/>
        <d v="1899-12-30T22:27:00"/>
        <d v="1899-12-30T22:30:00"/>
        <s v="11:45 AM"/>
        <s v="10:16 AM"/>
        <s v="11:16 AM"/>
      </sharedItems>
    </cacheField>
    <cacheField name="Location Visited" numFmtId="0">
      <sharedItems count="5">
        <s v="Gallery B"/>
        <s v="Gallery A"/>
        <s v="Gallery B, C"/>
        <s v="Gallery C"/>
        <s v="Gallery A, B"/>
      </sharedItems>
    </cacheField>
    <cacheField name="Items Carried" numFmtId="0">
      <sharedItems count="5">
        <s v="None"/>
        <s v="Unknown"/>
        <s v="Bag"/>
        <s v="Backpack"/>
        <s v="Purse"/>
      </sharedItems>
    </cacheField>
    <cacheField name="Relation to Staff" numFmtId="0">
      <sharedItems count="4">
        <s v="Friend"/>
        <s v="Staff Relative"/>
        <s v="None"/>
        <s v="Unknown"/>
      </sharedItems>
    </cacheField>
    <cacheField name="Suspicious Behavior" numFmtId="0">
      <sharedItems count="2">
        <s v="Yes"/>
        <s v="No"/>
      </sharedItems>
    </cacheField>
    <cacheField name="Time Near Painting (min)" numFmtId="0">
      <sharedItems containsSemiMixedTypes="0" containsString="0" containsNumber="1" containsInteger="1" minValue="0" maxValue="25" count="21">
        <n v="4"/>
        <n v="13"/>
        <n v="20"/>
        <n v="7"/>
        <n v="2"/>
        <n v="21"/>
        <n v="0"/>
        <n v="1"/>
        <n v="16"/>
        <n v="24"/>
        <n v="10"/>
        <n v="5"/>
        <n v="6"/>
        <n v="25"/>
        <n v="3"/>
        <n v="15"/>
        <n v="19"/>
        <n v="17"/>
        <n v="23"/>
        <n v="9"/>
        <n v="12"/>
      </sharedItems>
    </cacheField>
    <cacheField name="TIME" numFmtId="166">
      <sharedItems containsSemiMixedTypes="0" containsNonDate="0" containsDate="1" containsString="0" minDate="1899-12-30T00:06:00" maxDate="1899-12-30T11:58:00" count="47">
        <d v="1899-12-30T00:32:00"/>
        <d v="1899-12-30T02:15:00"/>
        <d v="1899-12-30T10:38:00"/>
        <d v="1899-12-30T00:56:00"/>
        <d v="1899-12-30T11:18:00"/>
        <d v="1899-12-30T03:10:00"/>
        <d v="1899-12-30T11:43:00"/>
        <d v="1899-12-30T11:10:00"/>
        <d v="1899-12-30T02:22:00"/>
        <d v="1899-12-30T11:01:00"/>
        <d v="1899-12-30T01:00:00"/>
        <d v="1899-12-30T01:07:00"/>
        <d v="1899-12-30T02:44:00"/>
        <d v="1899-12-30T02:02:00"/>
        <d v="1899-12-30T01:02:00"/>
        <d v="1899-12-30T01:57:00"/>
        <d v="1899-12-30T01:12:00"/>
        <d v="1899-12-30T01:29:00"/>
        <d v="1899-12-30T01:03:00"/>
        <d v="1899-12-30T11:24:00"/>
        <d v="1899-12-30T01:37:00"/>
        <d v="1899-12-30T11:44:00"/>
        <d v="1899-12-30T00:16:00"/>
        <d v="1899-12-30T00:15:00"/>
        <d v="1899-12-30T01:06:00"/>
        <d v="1899-12-30T11:04:00"/>
        <d v="1899-12-30T02:18:00"/>
        <d v="1899-12-30T01:24:00"/>
        <d v="1899-12-30T00:21:00"/>
        <d v="1899-12-30T00:47:00"/>
        <d v="1899-12-30T02:11:00"/>
        <d v="1899-12-30T00:29:00"/>
        <d v="1899-12-30T02:51:00"/>
        <d v="1899-12-30T03:27:00"/>
        <d v="1899-12-30T00:43:00"/>
        <d v="1899-12-30T11:28:00"/>
        <d v="1899-12-30T00:51:00"/>
        <d v="1899-12-30T02:00:00"/>
        <d v="1899-12-30T11:16:00"/>
        <d v="1899-12-30T01:47:00"/>
        <d v="1899-12-30T11:55:00"/>
        <d v="1899-12-30T00:19:00"/>
        <d v="1899-12-30T11:50:00"/>
        <d v="1899-12-30T11:58:00"/>
        <d v="1899-12-30T00:53:00"/>
        <d v="1899-12-30T00:06:00"/>
        <d v="1899-12-30T00:10:00"/>
      </sharedItems>
      <fieldGroup par="12"/>
    </cacheField>
    <cacheField name="Outcome" numFmtId="0">
      <sharedItems count="2">
        <s v="Suspect"/>
        <s v="Not Suspect"/>
      </sharedItems>
    </cacheField>
    <cacheField name="Minutes (TIME)" numFmtId="0" databaseField="0">
      <fieldGroup base="9">
        <rangePr groupBy="minutes" startDate="1899-12-30T00:06:00" endDate="1899-12-30T11:58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TIME)" numFmtId="0" databaseField="0">
      <fieldGroup base="9">
        <rangePr groupBy="hours" startDate="1899-12-30T00:06:00" endDate="1899-12-30T11:58:00"/>
        <groupItems count="26">
          <s v="&lt;00/01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10:24 am"/>
    <s v="10:56 AM"/>
    <s v="Gallery B"/>
    <s v="None"/>
    <x v="0"/>
    <s v="Yes"/>
    <n v="4"/>
  </r>
  <r>
    <x v="1"/>
    <x v="1"/>
    <s v="10:05 am"/>
    <s v="12:20 AM"/>
    <s v="Gallery B"/>
    <s v="Uknown "/>
    <x v="0"/>
    <s v="Yes"/>
    <m/>
  </r>
  <r>
    <x v="2"/>
    <x v="2"/>
    <s v="11:37 am"/>
    <s v="10:15 AM"/>
    <s v="Gallery A"/>
    <s v="Bag"/>
    <x v="1"/>
    <s v="No"/>
    <n v="20"/>
  </r>
  <r>
    <x v="3"/>
    <x v="3"/>
    <s v="9:38 am"/>
    <s v="10:34 AM"/>
    <s v="Gallery B, C"/>
    <s v="Backpack"/>
    <x v="1"/>
    <s v="No"/>
    <n v="7"/>
  </r>
  <r>
    <x v="4"/>
    <x v="4"/>
    <s v="11:52 am"/>
    <s v="11:10 AM"/>
    <s v="Gallery C"/>
    <s v="Bag"/>
    <x v="2"/>
    <s v="Yes"/>
    <n v="2"/>
  </r>
  <r>
    <x v="5"/>
    <x v="5"/>
    <s v="9:10 am"/>
    <s v="12:20 AM"/>
    <s v="Gallery C"/>
    <s v="None"/>
    <x v="3"/>
    <s v="No"/>
    <m/>
  </r>
  <r>
    <x v="6"/>
    <x v="6"/>
    <s v="10:32 am"/>
    <s v="10:15 AM"/>
    <s v="Gallery A"/>
    <s v="None"/>
    <x v="2"/>
    <s v="No"/>
    <n v="2"/>
  </r>
  <r>
    <x v="7"/>
    <x v="7"/>
    <s v="11:49 am"/>
    <s v="10:59 AM"/>
    <s v="Gallery A, B"/>
    <s v="Bag"/>
    <x v="0"/>
    <s v="No"/>
    <n v="2"/>
  </r>
  <r>
    <x v="8"/>
    <x v="8"/>
    <s v="10:06 am"/>
    <s v="12:28 AM"/>
    <s v="Gallery A, B"/>
    <s v="Backpack"/>
    <x v="1"/>
    <s v="Yes"/>
    <n v="21"/>
  </r>
  <r>
    <x v="9"/>
    <x v="9"/>
    <s v="11:18 am"/>
    <s v="10:19 AM"/>
    <s v="Gallery B"/>
    <s v="Bag"/>
    <x v="1"/>
    <s v="No"/>
    <n v="0"/>
  </r>
  <r>
    <x v="7"/>
    <x v="7"/>
    <s v="11:49 am"/>
    <s v="10:59 AM"/>
    <s v="Gallery A, B"/>
    <s v="Bag"/>
    <x v="0"/>
    <s v="No"/>
    <n v="2"/>
  </r>
  <r>
    <x v="10"/>
    <x v="10"/>
    <s v="10:31 am"/>
    <s v="11:31 AM"/>
    <s v="Gallery A"/>
    <s v="Purse"/>
    <x v="1"/>
    <s v="Yes"/>
    <n v="1"/>
  </r>
  <r>
    <x v="11"/>
    <x v="11"/>
    <s v="9:27 am"/>
    <s v="10:34 AM"/>
    <s v="Gallery B"/>
    <s v="Purse"/>
    <x v="1"/>
    <s v="Yes"/>
    <n v="16"/>
  </r>
  <r>
    <x v="12"/>
    <x v="12"/>
    <s v="9:29 am"/>
    <s v="12:13 AM"/>
    <s v="Gallery A"/>
    <s v="Backpack"/>
    <x v="1"/>
    <s v="Yes"/>
    <n v="24"/>
  </r>
  <r>
    <x v="13"/>
    <x v="13"/>
    <s v="10:57 am"/>
    <s v="12:59 AM"/>
    <s v="Gallery C"/>
    <s v="Backpack"/>
    <x v="1"/>
    <s v="Yes"/>
    <n v="4"/>
  </r>
  <r>
    <x v="14"/>
    <x v="14"/>
    <s v="9:06 AM"/>
    <s v="10:08 AM"/>
    <s v="Gallery A"/>
    <s v="Purse"/>
    <x v="1"/>
    <s v="No"/>
    <n v="10"/>
  </r>
  <r>
    <x v="15"/>
    <x v="15"/>
    <s v="10:29 AM"/>
    <s v="12:26 AM"/>
    <s v="Gallery B, C"/>
    <s v="Purse"/>
    <x v="0"/>
    <s v="No"/>
    <n v="10"/>
  </r>
  <r>
    <x v="16"/>
    <x v="16"/>
    <s v="10:14 AM"/>
    <s v="11:26 AM"/>
    <s v="Gallery B"/>
    <s v="None"/>
    <x v="1"/>
    <s v="Yes"/>
    <m/>
  </r>
  <r>
    <x v="17"/>
    <x v="17"/>
    <s v="9:16 AM"/>
    <s v="10:45 AM"/>
    <s v="Gallery B"/>
    <s v="Backpack"/>
    <x v="2"/>
    <s v="No"/>
    <n v="5"/>
  </r>
  <r>
    <x v="18"/>
    <x v="18"/>
    <s v="9:31 am"/>
    <s v="10:34 AM"/>
    <s v="Gallery A"/>
    <s v="Bag"/>
    <x v="2"/>
    <s v="No"/>
    <n v="6"/>
  </r>
  <r>
    <x v="19"/>
    <x v="19"/>
    <s v="11:43 am"/>
    <s v="11:07 AM"/>
    <s v="Gallery C"/>
    <s v="Bag"/>
    <x v="3"/>
    <s v="Yes"/>
    <n v="25"/>
  </r>
  <r>
    <x v="20"/>
    <x v="20"/>
    <s v="9:16 AM"/>
    <s v="10:53 AM"/>
    <s v="Gallery C"/>
    <s v="Backpack"/>
    <x v="2"/>
    <s v="Yes"/>
    <m/>
  </r>
  <r>
    <x v="21"/>
    <x v="21"/>
    <s v="11:15 am"/>
    <s v="10:59 AM"/>
    <s v="Gallery B, C"/>
    <s v="Backpack"/>
    <x v="0"/>
    <s v="No"/>
    <n v="13"/>
  </r>
  <r>
    <x v="22"/>
    <x v="22"/>
    <s v="11:28 am"/>
    <s v="11:44 AM"/>
    <s v="Gallery A, B"/>
    <s v="None"/>
    <x v="2"/>
    <s v="No"/>
    <n v="3"/>
  </r>
  <r>
    <x v="23"/>
    <x v="23"/>
    <s v="10:44 am"/>
    <s v="10:28 AM"/>
    <s v="Gallery C"/>
    <s v="Purse"/>
    <x v="2"/>
    <s v="Yes"/>
    <m/>
  </r>
  <r>
    <x v="24"/>
    <x v="24"/>
    <s v="11:36 am"/>
    <s v="11:51 AM"/>
    <s v="Gallery A"/>
    <s v="Bag"/>
    <x v="1"/>
    <s v="No"/>
    <n v="5"/>
  </r>
  <r>
    <x v="25"/>
    <x v="25"/>
    <s v="11:04 AM"/>
    <s v="12:10 AM"/>
    <s v="Gallery A, B"/>
    <s v="Uknown "/>
    <x v="1"/>
    <s v="Yes"/>
    <n v="15"/>
  </r>
  <r>
    <x v="26"/>
    <x v="26"/>
    <s v="11:02 AM"/>
    <s v="10:06 AM"/>
    <s v="Gallery A"/>
    <s v="Purse"/>
    <x v="0"/>
    <s v="No"/>
    <n v="19"/>
  </r>
  <r>
    <x v="27"/>
    <x v="27"/>
    <s v="9:32 AM"/>
    <s v="10:35 AM"/>
    <s v="Gallery A, B"/>
    <s v="Bag"/>
    <x v="0"/>
    <s v="Yes"/>
    <n v="24"/>
  </r>
  <r>
    <x v="28"/>
    <x v="28"/>
    <s v="9:25 AM"/>
    <s v="11:43 AM"/>
    <s v="Gallery A, B"/>
    <s v="Bag"/>
    <x v="0"/>
    <s v="No"/>
    <n v="16"/>
  </r>
  <r>
    <x v="29"/>
    <x v="29"/>
    <s v="10:26 am"/>
    <s v="11:50 AM"/>
    <s v="Gallery A, B"/>
    <s v="Bag"/>
    <x v="0"/>
    <s v="No"/>
    <n v="21"/>
  </r>
  <r>
    <x v="30"/>
    <x v="30"/>
    <s v="9:54 AM"/>
    <s v="10:15 AM"/>
    <s v="Gallery B, C"/>
    <s v="Uknown "/>
    <x v="1"/>
    <s v="Yes"/>
    <n v="16"/>
  </r>
  <r>
    <x v="31"/>
    <x v="31"/>
    <s v="10:18 AM"/>
    <s v="11:05 AM"/>
    <s v="Gallery B"/>
    <s v="Backpack"/>
    <x v="2"/>
    <s v="No"/>
    <n v="24"/>
  </r>
  <r>
    <x v="32"/>
    <x v="32"/>
    <s v="10:30 AM"/>
    <s v="12:41 AM"/>
    <s v="Gallery B"/>
    <s v="Backpack"/>
    <x v="1"/>
    <s v="No"/>
    <m/>
  </r>
  <r>
    <x v="33"/>
    <x v="33"/>
    <s v="10:46 AM"/>
    <s v="11:15 AM"/>
    <s v="Gallery C"/>
    <s v="Bag"/>
    <x v="3"/>
    <s v="Yes"/>
    <n v="17"/>
  </r>
  <r>
    <x v="34"/>
    <x v="34"/>
    <s v="10:07 AM"/>
    <s v="12:58 AM"/>
    <s v="Gallery C"/>
    <s v="Uknown "/>
    <x v="2"/>
    <s v="Yes"/>
    <n v="13"/>
  </r>
  <r>
    <x v="35"/>
    <x v="35"/>
    <s v="9:20 AM"/>
    <s v="12:47 AM"/>
    <s v="Gallery C"/>
    <s v="Purse"/>
    <x v="0"/>
    <s v="No"/>
    <m/>
  </r>
  <r>
    <x v="36"/>
    <x v="36"/>
    <s v="10:09 am"/>
    <s v="10:52 AM"/>
    <s v="Gallery B"/>
    <s v="Uknown "/>
    <x v="2"/>
    <s v="Yes"/>
    <n v="20"/>
  </r>
  <r>
    <x v="37"/>
    <x v="37"/>
    <s v="11:22 am"/>
    <s v="10:50 AM"/>
    <s v="Gallery C"/>
    <s v="None"/>
    <x v="0"/>
    <s v="No"/>
    <n v="10"/>
  </r>
  <r>
    <x v="38"/>
    <x v="38"/>
    <s v="11:46 AM"/>
    <s v="12:37 AM"/>
    <s v="Gallery B"/>
    <s v="Purse"/>
    <x v="1"/>
    <s v="Yes"/>
    <n v="15"/>
  </r>
  <r>
    <x v="39"/>
    <x v="39"/>
    <s v="10:10 AM"/>
    <s v="12:10 AM"/>
    <s v="Gallery B, C"/>
    <s v="None"/>
    <x v="0"/>
    <s v="Yes"/>
    <n v="2"/>
  </r>
  <r>
    <x v="40"/>
    <x v="40"/>
    <s v="10:08 am"/>
    <s v="11:10 AM"/>
    <s v="Gallery B"/>
    <s v="Backpack"/>
    <x v="2"/>
    <s v="No"/>
    <m/>
  </r>
  <r>
    <x v="41"/>
    <x v="41"/>
    <s v="11:53 am"/>
    <s v="11:09 AM"/>
    <s v="Gallery A, B"/>
    <s v="Backpack"/>
    <x v="2"/>
    <s v="No"/>
    <n v="25"/>
  </r>
  <r>
    <x v="42"/>
    <x v="42"/>
    <s v="9:12 am"/>
    <s v="10:59 AM"/>
    <s v="Gallery C"/>
    <s v="Bag"/>
    <x v="0"/>
    <s v="No"/>
    <n v="25"/>
  </r>
  <r>
    <x v="43"/>
    <x v="43"/>
    <s v="11:56 AM"/>
    <s v="11:51 AM"/>
    <s v="Gallery A"/>
    <s v="Backpack"/>
    <x v="2"/>
    <s v="Yes"/>
    <n v="23"/>
  </r>
  <r>
    <x v="23"/>
    <x v="23"/>
    <s v="10:44 am"/>
    <s v="10:28 AM"/>
    <s v="Gallery C"/>
    <s v="Purse"/>
    <x v="2"/>
    <s v="Yes"/>
    <m/>
  </r>
  <r>
    <x v="44"/>
    <x v="44"/>
    <s v="10:32 AM"/>
    <s v="10:51 AM"/>
    <s v="Gallery C"/>
    <s v="Backpack"/>
    <x v="3"/>
    <s v="Yes"/>
    <n v="19"/>
  </r>
  <r>
    <x v="45"/>
    <x v="45"/>
    <s v="10:37 am"/>
    <s v="10:27 AM"/>
    <s v="Gallery A, B"/>
    <s v="Backpack"/>
    <x v="1"/>
    <s v="No"/>
    <n v="9"/>
  </r>
  <r>
    <x v="46"/>
    <x v="46"/>
    <s v="10:32 AM"/>
    <s v="10:30 AM"/>
    <s v="Gallery A, B"/>
    <s v="Backpack"/>
    <x v="3"/>
    <s v="No"/>
    <m/>
  </r>
  <r>
    <x v="47"/>
    <x v="47"/>
    <s v="10:52 AM"/>
    <s v="11:45 AM"/>
    <s v="Gallery B, C"/>
    <s v="Bag"/>
    <x v="2"/>
    <s v="Yes"/>
    <n v="12"/>
  </r>
  <r>
    <x v="48"/>
    <x v="48"/>
    <s v="10:10 AM"/>
    <s v="10:16 AM"/>
    <s v="Gallery C"/>
    <s v="Backpack"/>
    <x v="2"/>
    <s v="No"/>
    <m/>
  </r>
  <r>
    <x v="31"/>
    <x v="31"/>
    <s v="10:18 am"/>
    <s v="11:05 AM"/>
    <s v="Gallery B"/>
    <s v="Backpack"/>
    <x v="2"/>
    <s v="No"/>
    <n v="24"/>
  </r>
  <r>
    <x v="49"/>
    <x v="49"/>
    <s v="11:06 AM"/>
    <s v="11:16 AM"/>
    <s v="Gallery B, C"/>
    <s v="Purse"/>
    <x v="1"/>
    <s v="No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Visitor_20"/>
    <d v="1899-12-30T10:24:00"/>
    <s v="10:56 AM"/>
    <s v="Gallery B"/>
    <s v="None"/>
    <s v="Friend"/>
    <s v="Yes"/>
    <n v="4"/>
    <d v="1899-12-30T00:32:00"/>
    <s v="Suspect"/>
    <n v="13"/>
  </r>
  <r>
    <x v="1"/>
    <s v="Visitor_42"/>
    <d v="1899-12-30T10:05:00"/>
    <d v="1899-12-30T12:20:00"/>
    <s v="Gallery B"/>
    <s v="Unknown"/>
    <s v="Friend"/>
    <s v="Yes"/>
    <n v="13"/>
    <d v="1899-12-30T02:15:00"/>
    <s v="Suspect"/>
    <n v="13"/>
  </r>
  <r>
    <x v="2"/>
    <s v="Visitor_48"/>
    <d v="1899-12-30T11:37:00"/>
    <d v="1899-12-30T22:15:00"/>
    <s v="Gallery A"/>
    <s v="Bag"/>
    <s v="Staff Relative"/>
    <s v="No"/>
    <n v="20"/>
    <d v="1899-12-30T10:38:00"/>
    <s v="Not Suspect"/>
    <n v="13"/>
  </r>
  <r>
    <x v="3"/>
    <s v="Visitor_13"/>
    <d v="1899-12-30T09:38:00"/>
    <s v="10:34 AM"/>
    <s v="Gallery B, C"/>
    <s v="Backpack"/>
    <s v="Staff Relative"/>
    <s v="No"/>
    <n v="7"/>
    <d v="1899-12-30T00:56:00"/>
    <s v="Not Suspect"/>
    <n v="13"/>
  </r>
  <r>
    <x v="4"/>
    <s v="Visitor_44"/>
    <d v="1899-12-30T11:52:00"/>
    <d v="1899-12-30T23:10:00"/>
    <s v="Gallery C"/>
    <s v="Bag"/>
    <s v="None"/>
    <s v="Yes"/>
    <n v="2"/>
    <d v="1899-12-30T11:18:00"/>
    <s v="Not Suspect"/>
    <n v="13"/>
  </r>
  <r>
    <x v="5"/>
    <s v="Visitor_6"/>
    <d v="1899-12-30T09:10:00"/>
    <d v="1899-12-30T12:20:00"/>
    <s v="Gallery C"/>
    <s v="None"/>
    <s v="Unknown"/>
    <s v="No"/>
    <n v="13"/>
    <d v="1899-12-30T03:10:00"/>
    <s v="Not Suspect"/>
    <n v="13"/>
  </r>
  <r>
    <x v="6"/>
    <s v="Visitor_18"/>
    <d v="1899-12-30T10:32:00"/>
    <d v="1899-12-30T22:15:00"/>
    <s v="Gallery A"/>
    <s v="None"/>
    <s v="None"/>
    <s v="No"/>
    <n v="2"/>
    <d v="1899-12-30T11:43:00"/>
    <s v="Not Suspect"/>
    <n v="13"/>
  </r>
  <r>
    <x v="7"/>
    <s v="Visitor_14"/>
    <s v="11:49 am"/>
    <d v="1899-12-30T22:59:00"/>
    <s v="Gallery A, B"/>
    <s v="Bag"/>
    <s v="Friend"/>
    <s v="No"/>
    <n v="2"/>
    <d v="1899-12-30T11:10:00"/>
    <s v="Not Suspect"/>
    <n v="13"/>
  </r>
  <r>
    <x v="8"/>
    <s v="Visitor_4"/>
    <s v="10:06 am"/>
    <d v="1899-12-30T12:28:00"/>
    <s v="Gallery A, B"/>
    <s v="Backpack"/>
    <s v="Staff Relative"/>
    <s v="Yes"/>
    <n v="21"/>
    <d v="1899-12-30T02:22:00"/>
    <s v="Not Suspect"/>
    <n v="13"/>
  </r>
  <r>
    <x v="9"/>
    <s v="Visitor_33"/>
    <s v="11:18 am"/>
    <d v="1899-12-30T22:19:00"/>
    <s v="Gallery B"/>
    <s v="Bag"/>
    <s v="Staff Relative"/>
    <s v="No"/>
    <n v="0"/>
    <d v="1899-12-30T11:01:00"/>
    <s v="Not Suspect"/>
    <n v="13"/>
  </r>
  <r>
    <x v="7"/>
    <s v="Visitor_14"/>
    <s v="11:49 am"/>
    <d v="1899-12-30T22:59:00"/>
    <s v="Gallery A, B"/>
    <s v="Bag"/>
    <s v="Friend"/>
    <s v="No"/>
    <n v="2"/>
    <d v="1899-12-30T11:10:00"/>
    <s v="Not Suspect"/>
    <n v="13"/>
  </r>
  <r>
    <x v="10"/>
    <s v="Visitor_9"/>
    <s v="10:31 am"/>
    <s v="11:31 AM"/>
    <s v="Gallery A"/>
    <s v="Purse"/>
    <s v="Staff Relative"/>
    <s v="Yes"/>
    <n v="1"/>
    <d v="1899-12-30T01:00:00"/>
    <s v="Not Suspect"/>
    <n v="13"/>
  </r>
  <r>
    <x v="11"/>
    <s v="Visitor_27"/>
    <s v="9:27 am"/>
    <s v="10:34 AM"/>
    <s v="Gallery B"/>
    <s v="Purse"/>
    <s v="Staff Relative"/>
    <s v="Yes"/>
    <n v="16"/>
    <d v="1899-12-30T01:07:00"/>
    <s v="Not Suspect"/>
    <n v="13"/>
  </r>
  <r>
    <x v="12"/>
    <s v="Visitor_7"/>
    <s v="9:29 am"/>
    <d v="1899-12-30T12:13:00"/>
    <s v="Gallery A"/>
    <s v="Backpack"/>
    <s v="Staff Relative"/>
    <s v="Yes"/>
    <n v="24"/>
    <d v="1899-12-30T02:44:00"/>
    <s v="Not Suspect"/>
    <n v="13"/>
  </r>
  <r>
    <x v="13"/>
    <s v="Visitor_35"/>
    <s v="10:57 am"/>
    <d v="1899-12-30T12:59:00"/>
    <s v="Gallery C"/>
    <s v="Backpack"/>
    <s v="Staff Relative"/>
    <s v="Yes"/>
    <n v="4"/>
    <d v="1899-12-30T02:02:00"/>
    <s v="Not Suspect"/>
    <n v="13"/>
  </r>
  <r>
    <x v="14"/>
    <s v="Visitor_5"/>
    <s v="9:06 AM"/>
    <s v="10:08 AM"/>
    <s v="Gallery A"/>
    <s v="Purse"/>
    <s v="Staff Relative"/>
    <s v="No"/>
    <n v="10"/>
    <d v="1899-12-30T01:02:00"/>
    <s v="Not Suspect"/>
    <n v="13"/>
  </r>
  <r>
    <x v="15"/>
    <s v="Visitor_38"/>
    <s v="10:29 AM"/>
    <d v="1899-12-30T12:26:00"/>
    <s v="Gallery B, C"/>
    <s v="Purse"/>
    <s v="Friend"/>
    <s v="No"/>
    <n v="10"/>
    <d v="1899-12-30T01:57:00"/>
    <s v="Not Suspect"/>
    <n v="13"/>
  </r>
  <r>
    <x v="16"/>
    <s v="Visitor_25"/>
    <s v="10:14 AM"/>
    <s v="11:26 AM"/>
    <s v="Gallery B"/>
    <s v="None"/>
    <s v="Staff Relative"/>
    <s v="Yes"/>
    <n v="13"/>
    <d v="1899-12-30T01:12:00"/>
    <s v="Not Suspect"/>
    <n v="13"/>
  </r>
  <r>
    <x v="17"/>
    <s v="Visitor_45"/>
    <s v="9:16 AM"/>
    <s v="10:45 AM"/>
    <s v="Gallery B"/>
    <s v="Backpack"/>
    <s v="None"/>
    <s v="No"/>
    <n v="5"/>
    <d v="1899-12-30T01:29:00"/>
    <s v="Not Suspect"/>
    <n v="13"/>
  </r>
  <r>
    <x v="18"/>
    <s v="Visitor_34"/>
    <s v="9:31 am"/>
    <s v="10:34 AM"/>
    <s v="Gallery A"/>
    <s v="Bag"/>
    <s v="None"/>
    <s v="No"/>
    <n v="6"/>
    <d v="1899-12-30T01:03:00"/>
    <s v="Not Suspect"/>
    <n v="13"/>
  </r>
  <r>
    <x v="19"/>
    <s v="Visitor_50"/>
    <s v="11:43 am"/>
    <d v="1899-12-30T23:07:00"/>
    <s v="Gallery C"/>
    <s v="Bag"/>
    <s v="Unknown"/>
    <s v="Yes"/>
    <n v="25"/>
    <d v="1899-12-30T11:24:00"/>
    <s v="Not Suspect"/>
    <n v="13"/>
  </r>
  <r>
    <x v="20"/>
    <s v="Visitor_16"/>
    <s v="9:16 AM"/>
    <s v="10:53 AM"/>
    <s v="Gallery C"/>
    <s v="Backpack"/>
    <s v="None"/>
    <s v="Yes"/>
    <n v="13"/>
    <d v="1899-12-30T01:37:00"/>
    <s v="Not Suspect"/>
    <n v="13"/>
  </r>
  <r>
    <x v="21"/>
    <s v="Visitor_10"/>
    <s v="11:15 am"/>
    <d v="1899-12-30T22:59:00"/>
    <s v="Gallery B, C"/>
    <s v="Backpack"/>
    <s v="Friend"/>
    <s v="No"/>
    <n v="13"/>
    <d v="1899-12-30T11:44:00"/>
    <s v="Not Suspect"/>
    <n v="13"/>
  </r>
  <r>
    <x v="22"/>
    <s v="Visitor_17"/>
    <s v="11:28 am"/>
    <s v="11:44 AM"/>
    <s v="Gallery A, B"/>
    <s v="None"/>
    <s v="None"/>
    <s v="No"/>
    <n v="3"/>
    <d v="1899-12-30T00:16:00"/>
    <s v="Not Suspect"/>
    <n v="14"/>
  </r>
  <r>
    <x v="23"/>
    <s v="Visitor_31"/>
    <s v="10:44 am"/>
    <d v="1899-12-30T22:28:00"/>
    <s v="Gallery C"/>
    <s v="Purse"/>
    <s v="None"/>
    <s v="Yes"/>
    <n v="13"/>
    <d v="1899-12-30T11:44:00"/>
    <s v="Not Suspect"/>
    <n v="15"/>
  </r>
  <r>
    <x v="24"/>
    <s v="Visitor_37"/>
    <s v="11:36 am"/>
    <s v="11:51 AM"/>
    <s v="Gallery A"/>
    <s v="Bag"/>
    <s v="Staff Relative"/>
    <s v="No"/>
    <n v="5"/>
    <d v="1899-12-30T00:15:00"/>
    <s v="Not Suspect"/>
    <n v="15"/>
  </r>
  <r>
    <x v="25"/>
    <s v="Visitor_26"/>
    <s v="11:04 AM"/>
    <d v="1899-12-30T12:10:00"/>
    <s v="Gallery A, B"/>
    <s v="Unknown"/>
    <s v="Staff Relative"/>
    <s v="Yes"/>
    <n v="15"/>
    <d v="1899-12-30T01:06:00"/>
    <s v="Not Suspect"/>
    <n v="15"/>
  </r>
  <r>
    <x v="26"/>
    <s v="Visitor_12"/>
    <s v="11:02 AM"/>
    <d v="1899-12-30T22:06:00"/>
    <s v="Gallery A"/>
    <s v="Purse"/>
    <s v="Friend"/>
    <s v="No"/>
    <n v="19"/>
    <d v="1899-12-30T11:04:00"/>
    <s v="Not Suspect"/>
    <n v="15.5"/>
  </r>
  <r>
    <x v="27"/>
    <s v="Visitor_1"/>
    <s v="9:32 AM"/>
    <s v="10:35 AM"/>
    <s v="Gallery A, B"/>
    <s v="Bag"/>
    <s v="Friend"/>
    <s v="Yes"/>
    <n v="24"/>
    <d v="1899-12-30T01:03:00"/>
    <s v="Not Suspect"/>
    <n v="15"/>
  </r>
  <r>
    <x v="28"/>
    <s v="Visitor_47"/>
    <s v="9:25 AM"/>
    <s v="11:43 AM"/>
    <s v="Gallery A, B"/>
    <s v="Bag"/>
    <s v="Friend"/>
    <s v="No"/>
    <n v="16"/>
    <d v="1899-12-30T02:18:00"/>
    <s v="Not Suspect"/>
    <n v="14"/>
  </r>
  <r>
    <x v="29"/>
    <s v="Visitor_28"/>
    <s v="10:26 am"/>
    <s v="11:50 AM"/>
    <s v="Gallery A, B"/>
    <s v="Bag"/>
    <s v="Friend"/>
    <s v="No"/>
    <n v="21"/>
    <d v="1899-12-30T01:24:00"/>
    <s v="Not Suspect"/>
    <n v="13"/>
  </r>
  <r>
    <x v="30"/>
    <s v="Visitor_32"/>
    <s v="9:54 AM"/>
    <s v="10:15 AM"/>
    <s v="Gallery B, C"/>
    <s v="Unknown"/>
    <s v="Staff Relative"/>
    <s v="Yes"/>
    <n v="16"/>
    <d v="1899-12-30T00:21:00"/>
    <s v="Not Suspect"/>
    <n v="13"/>
  </r>
  <r>
    <x v="31"/>
    <s v="Visitor_40"/>
    <s v="10:18 AM"/>
    <s v="11:05 AM"/>
    <s v="Gallery B"/>
    <s v="Backpack"/>
    <s v="None"/>
    <s v="No"/>
    <n v="24"/>
    <d v="1899-12-30T00:47:00"/>
    <s v="Not Suspect"/>
    <n v="13"/>
  </r>
  <r>
    <x v="32"/>
    <s v="Visitor_30"/>
    <s v="10:30 AM"/>
    <d v="1899-12-30T12:41:00"/>
    <s v="Gallery B"/>
    <s v="Backpack"/>
    <s v="Staff Relative"/>
    <s v="No"/>
    <n v="13"/>
    <d v="1899-12-30T02:11:00"/>
    <s v="Not Suspect"/>
    <n v="13"/>
  </r>
  <r>
    <x v="33"/>
    <s v="Visitor_46"/>
    <s v="10:46 AM"/>
    <s v="11:15 AM"/>
    <s v="Gallery C"/>
    <s v="Bag"/>
    <s v="Unknown"/>
    <s v="Yes"/>
    <n v="17"/>
    <d v="1899-12-30T00:29:00"/>
    <s v="Not Suspect"/>
    <n v="13"/>
  </r>
  <r>
    <x v="34"/>
    <s v="Visitor_2"/>
    <s v="10:07 AM"/>
    <d v="1899-12-30T12:58:00"/>
    <s v="Gallery C"/>
    <s v="Unknown"/>
    <s v="None"/>
    <s v="Yes"/>
    <n v="13"/>
    <d v="1899-12-30T02:51:00"/>
    <s v="Not Suspect"/>
    <n v="13"/>
  </r>
  <r>
    <x v="35"/>
    <s v="Visitor_22"/>
    <s v="9:20 AM"/>
    <d v="1899-12-30T12:47:00"/>
    <s v="Gallery C"/>
    <s v="Purse"/>
    <s v="Friend"/>
    <s v="No"/>
    <n v="13"/>
    <d v="1899-12-30T03:27:00"/>
    <s v="Not Suspect"/>
    <n v="13"/>
  </r>
  <r>
    <x v="36"/>
    <s v="Visitor_3"/>
    <s v="10:09 am"/>
    <s v="10:52 AM"/>
    <s v="Gallery B"/>
    <s v="Unknown"/>
    <s v="None"/>
    <s v="Yes"/>
    <n v="20"/>
    <d v="1899-12-30T00:43:00"/>
    <s v="Not Suspect"/>
    <n v="13"/>
  </r>
  <r>
    <x v="37"/>
    <s v="Visitor_41"/>
    <s v="11:22 am"/>
    <d v="1899-12-30T22:50:00"/>
    <s v="Gallery C"/>
    <s v="None"/>
    <s v="Friend"/>
    <s v="No"/>
    <n v="10"/>
    <d v="1899-12-30T11:28:00"/>
    <s v="Not Suspect"/>
    <n v="13"/>
  </r>
  <r>
    <x v="38"/>
    <s v="Visitor_36"/>
    <s v="11:46 AM"/>
    <d v="1899-12-30T12:37:00"/>
    <s v="Gallery B"/>
    <s v="Purse"/>
    <s v="Staff Relative"/>
    <s v="Yes"/>
    <n v="15"/>
    <d v="1899-12-30T00:51:00"/>
    <s v="Not Suspect"/>
    <n v="13"/>
  </r>
  <r>
    <x v="39"/>
    <s v="Visitor_24"/>
    <s v="10:10 AM"/>
    <d v="1899-12-30T12:10:00"/>
    <s v="Gallery B, C"/>
    <s v="None"/>
    <s v="Friend"/>
    <s v="Yes"/>
    <n v="2"/>
    <d v="1899-12-30T02:00:00"/>
    <s v="Not Suspect"/>
    <n v="13"/>
  </r>
  <r>
    <x v="40"/>
    <s v="Visitor_49"/>
    <s v="10:08 am"/>
    <s v="11:10 AM"/>
    <s v="Gallery B"/>
    <s v="Backpack"/>
    <s v="None"/>
    <s v="No"/>
    <n v="13"/>
    <d v="1899-12-30T01:02:00"/>
    <s v="Not Suspect"/>
    <n v="13"/>
  </r>
  <r>
    <x v="41"/>
    <s v="Visitor_11"/>
    <s v="11:53 am"/>
    <d v="1899-12-30T23:09:00"/>
    <s v="Gallery A, B"/>
    <s v="Backpack"/>
    <s v="None"/>
    <s v="No"/>
    <n v="25"/>
    <d v="1899-12-30T11:16:00"/>
    <s v="Not Suspect"/>
    <n v="13"/>
  </r>
  <r>
    <x v="42"/>
    <s v="Visitor_23"/>
    <s v="9:12 am"/>
    <s v="10:59 AM"/>
    <s v="Gallery C"/>
    <s v="Bag"/>
    <s v="Friend"/>
    <s v="No"/>
    <n v="25"/>
    <d v="1899-12-30T01:47:00"/>
    <s v="Not Suspect"/>
    <n v="13"/>
  </r>
  <r>
    <x v="43"/>
    <s v="Visitor_19"/>
    <s v="11:56 AM"/>
    <d v="1899-12-30T23:51:00"/>
    <s v="Gallery A"/>
    <s v="Backpack"/>
    <s v="None"/>
    <s v="Yes"/>
    <n v="23"/>
    <d v="1899-12-30T11:55:00"/>
    <s v="Not Suspect"/>
    <n v="13"/>
  </r>
  <r>
    <x v="23"/>
    <s v="Visitor_31"/>
    <s v="10:44 am"/>
    <d v="1899-12-30T22:28:00"/>
    <s v="Gallery C"/>
    <s v="Purse"/>
    <s v="None"/>
    <s v="Yes"/>
    <n v="13"/>
    <d v="1899-12-30T11:44:00"/>
    <s v="Not Suspect"/>
    <n v="13"/>
  </r>
  <r>
    <x v="44"/>
    <s v="Visitor_21"/>
    <s v="10:32 AM"/>
    <s v="10:51 AM"/>
    <s v="Gallery C"/>
    <s v="Backpack"/>
    <s v="Unknown"/>
    <s v="Yes"/>
    <n v="19"/>
    <d v="1899-12-30T00:19:00"/>
    <s v="Not Suspect"/>
    <n v="13"/>
  </r>
  <r>
    <x v="45"/>
    <s v="Visitor_8"/>
    <s v="10:37 am"/>
    <d v="1899-12-30T22:27:00"/>
    <s v="Gallery A, B"/>
    <s v="Backpack"/>
    <s v="Staff Relative"/>
    <s v="No"/>
    <n v="9"/>
    <d v="1899-12-30T11:50:00"/>
    <s v="Not Suspect"/>
    <n v="12.5"/>
  </r>
  <r>
    <x v="46"/>
    <s v="Visitor_43"/>
    <s v="10:32 AM"/>
    <d v="1899-12-30T22:30:00"/>
    <s v="Gallery A, B"/>
    <s v="Backpack"/>
    <s v="Unknown"/>
    <s v="No"/>
    <n v="13"/>
    <d v="1899-12-30T11:58:00"/>
    <s v="Not Suspect"/>
    <n v="13"/>
  </r>
  <r>
    <x v="47"/>
    <s v="Visitor_15"/>
    <s v="10:52 AM"/>
    <s v="11:45 AM"/>
    <s v="Gallery B, C"/>
    <s v="Bag"/>
    <s v="None"/>
    <s v="Yes"/>
    <n v="12"/>
    <d v="1899-12-30T00:53:00"/>
    <s v="Not Suspect"/>
    <n v="12.5"/>
  </r>
  <r>
    <x v="48"/>
    <s v="Visitor_29"/>
    <s v="10:10 AM"/>
    <s v="10:16 AM"/>
    <s v="Gallery C"/>
    <s v="Backpack"/>
    <s v="None"/>
    <s v="No"/>
    <n v="13"/>
    <d v="1899-12-30T00:06:00"/>
    <s v="Not Suspect"/>
    <n v="13"/>
  </r>
  <r>
    <x v="31"/>
    <s v="Visitor_40"/>
    <s v="10:18 am"/>
    <s v="11:05 AM"/>
    <s v="Gallery B"/>
    <s v="Backpack"/>
    <s v="None"/>
    <s v="No"/>
    <n v="24"/>
    <d v="1899-12-30T00:47:00"/>
    <s v="Not Suspect"/>
    <n v="15.5"/>
  </r>
  <r>
    <x v="49"/>
    <s v="Visitor_39"/>
    <s v="11:06 AM"/>
    <s v="11:16 AM"/>
    <s v="Gallery B, C"/>
    <s v="Purse"/>
    <s v="Staff Relative"/>
    <s v="No"/>
    <n v="7"/>
    <d v="1899-12-30T00:10:00"/>
    <s v="Not Suspect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0"/>
    <x v="0"/>
    <x v="1"/>
    <x v="1"/>
    <x v="0"/>
  </r>
  <r>
    <x v="2"/>
    <x v="2"/>
    <x v="2"/>
    <x v="2"/>
    <x v="1"/>
    <x v="2"/>
    <x v="1"/>
    <x v="1"/>
    <x v="2"/>
    <x v="2"/>
    <x v="1"/>
  </r>
  <r>
    <x v="3"/>
    <x v="3"/>
    <x v="3"/>
    <x v="3"/>
    <x v="2"/>
    <x v="3"/>
    <x v="1"/>
    <x v="1"/>
    <x v="3"/>
    <x v="3"/>
    <x v="1"/>
  </r>
  <r>
    <x v="4"/>
    <x v="4"/>
    <x v="4"/>
    <x v="4"/>
    <x v="3"/>
    <x v="2"/>
    <x v="2"/>
    <x v="0"/>
    <x v="4"/>
    <x v="4"/>
    <x v="1"/>
  </r>
  <r>
    <x v="5"/>
    <x v="5"/>
    <x v="5"/>
    <x v="1"/>
    <x v="3"/>
    <x v="0"/>
    <x v="3"/>
    <x v="1"/>
    <x v="1"/>
    <x v="5"/>
    <x v="1"/>
  </r>
  <r>
    <x v="6"/>
    <x v="6"/>
    <x v="6"/>
    <x v="2"/>
    <x v="1"/>
    <x v="0"/>
    <x v="2"/>
    <x v="1"/>
    <x v="4"/>
    <x v="6"/>
    <x v="1"/>
  </r>
  <r>
    <x v="7"/>
    <x v="7"/>
    <x v="7"/>
    <x v="5"/>
    <x v="4"/>
    <x v="2"/>
    <x v="0"/>
    <x v="1"/>
    <x v="4"/>
    <x v="7"/>
    <x v="1"/>
  </r>
  <r>
    <x v="8"/>
    <x v="8"/>
    <x v="8"/>
    <x v="6"/>
    <x v="4"/>
    <x v="3"/>
    <x v="1"/>
    <x v="0"/>
    <x v="5"/>
    <x v="8"/>
    <x v="1"/>
  </r>
  <r>
    <x v="9"/>
    <x v="9"/>
    <x v="9"/>
    <x v="7"/>
    <x v="0"/>
    <x v="2"/>
    <x v="1"/>
    <x v="1"/>
    <x v="6"/>
    <x v="9"/>
    <x v="1"/>
  </r>
  <r>
    <x v="7"/>
    <x v="7"/>
    <x v="7"/>
    <x v="5"/>
    <x v="4"/>
    <x v="2"/>
    <x v="0"/>
    <x v="1"/>
    <x v="4"/>
    <x v="7"/>
    <x v="1"/>
  </r>
  <r>
    <x v="10"/>
    <x v="10"/>
    <x v="10"/>
    <x v="8"/>
    <x v="1"/>
    <x v="4"/>
    <x v="1"/>
    <x v="0"/>
    <x v="7"/>
    <x v="10"/>
    <x v="1"/>
  </r>
  <r>
    <x v="11"/>
    <x v="11"/>
    <x v="11"/>
    <x v="3"/>
    <x v="0"/>
    <x v="4"/>
    <x v="1"/>
    <x v="0"/>
    <x v="8"/>
    <x v="11"/>
    <x v="1"/>
  </r>
  <r>
    <x v="12"/>
    <x v="12"/>
    <x v="12"/>
    <x v="9"/>
    <x v="1"/>
    <x v="3"/>
    <x v="1"/>
    <x v="0"/>
    <x v="9"/>
    <x v="12"/>
    <x v="1"/>
  </r>
  <r>
    <x v="13"/>
    <x v="13"/>
    <x v="13"/>
    <x v="10"/>
    <x v="3"/>
    <x v="3"/>
    <x v="1"/>
    <x v="0"/>
    <x v="0"/>
    <x v="13"/>
    <x v="1"/>
  </r>
  <r>
    <x v="14"/>
    <x v="14"/>
    <x v="14"/>
    <x v="11"/>
    <x v="1"/>
    <x v="4"/>
    <x v="1"/>
    <x v="1"/>
    <x v="10"/>
    <x v="14"/>
    <x v="1"/>
  </r>
  <r>
    <x v="15"/>
    <x v="15"/>
    <x v="15"/>
    <x v="12"/>
    <x v="2"/>
    <x v="4"/>
    <x v="0"/>
    <x v="1"/>
    <x v="10"/>
    <x v="15"/>
    <x v="1"/>
  </r>
  <r>
    <x v="16"/>
    <x v="16"/>
    <x v="16"/>
    <x v="13"/>
    <x v="0"/>
    <x v="0"/>
    <x v="1"/>
    <x v="0"/>
    <x v="1"/>
    <x v="16"/>
    <x v="1"/>
  </r>
  <r>
    <x v="17"/>
    <x v="17"/>
    <x v="17"/>
    <x v="14"/>
    <x v="0"/>
    <x v="3"/>
    <x v="2"/>
    <x v="1"/>
    <x v="11"/>
    <x v="17"/>
    <x v="1"/>
  </r>
  <r>
    <x v="18"/>
    <x v="18"/>
    <x v="18"/>
    <x v="3"/>
    <x v="1"/>
    <x v="2"/>
    <x v="2"/>
    <x v="1"/>
    <x v="12"/>
    <x v="18"/>
    <x v="1"/>
  </r>
  <r>
    <x v="19"/>
    <x v="19"/>
    <x v="19"/>
    <x v="15"/>
    <x v="3"/>
    <x v="2"/>
    <x v="3"/>
    <x v="0"/>
    <x v="13"/>
    <x v="19"/>
    <x v="1"/>
  </r>
  <r>
    <x v="20"/>
    <x v="20"/>
    <x v="17"/>
    <x v="16"/>
    <x v="3"/>
    <x v="3"/>
    <x v="2"/>
    <x v="0"/>
    <x v="1"/>
    <x v="20"/>
    <x v="1"/>
  </r>
  <r>
    <x v="21"/>
    <x v="21"/>
    <x v="20"/>
    <x v="5"/>
    <x v="2"/>
    <x v="3"/>
    <x v="0"/>
    <x v="1"/>
    <x v="1"/>
    <x v="21"/>
    <x v="1"/>
  </r>
  <r>
    <x v="22"/>
    <x v="22"/>
    <x v="21"/>
    <x v="17"/>
    <x v="4"/>
    <x v="0"/>
    <x v="2"/>
    <x v="1"/>
    <x v="14"/>
    <x v="22"/>
    <x v="1"/>
  </r>
  <r>
    <x v="23"/>
    <x v="23"/>
    <x v="22"/>
    <x v="18"/>
    <x v="3"/>
    <x v="4"/>
    <x v="2"/>
    <x v="0"/>
    <x v="1"/>
    <x v="21"/>
    <x v="1"/>
  </r>
  <r>
    <x v="24"/>
    <x v="24"/>
    <x v="23"/>
    <x v="19"/>
    <x v="1"/>
    <x v="2"/>
    <x v="1"/>
    <x v="1"/>
    <x v="11"/>
    <x v="23"/>
    <x v="1"/>
  </r>
  <r>
    <x v="25"/>
    <x v="25"/>
    <x v="24"/>
    <x v="20"/>
    <x v="4"/>
    <x v="1"/>
    <x v="1"/>
    <x v="0"/>
    <x v="15"/>
    <x v="24"/>
    <x v="1"/>
  </r>
  <r>
    <x v="26"/>
    <x v="26"/>
    <x v="25"/>
    <x v="21"/>
    <x v="1"/>
    <x v="4"/>
    <x v="0"/>
    <x v="1"/>
    <x v="16"/>
    <x v="25"/>
    <x v="1"/>
  </r>
  <r>
    <x v="27"/>
    <x v="27"/>
    <x v="26"/>
    <x v="22"/>
    <x v="4"/>
    <x v="2"/>
    <x v="0"/>
    <x v="0"/>
    <x v="9"/>
    <x v="18"/>
    <x v="1"/>
  </r>
  <r>
    <x v="28"/>
    <x v="28"/>
    <x v="27"/>
    <x v="23"/>
    <x v="4"/>
    <x v="2"/>
    <x v="0"/>
    <x v="1"/>
    <x v="8"/>
    <x v="26"/>
    <x v="1"/>
  </r>
  <r>
    <x v="29"/>
    <x v="29"/>
    <x v="28"/>
    <x v="24"/>
    <x v="4"/>
    <x v="2"/>
    <x v="0"/>
    <x v="1"/>
    <x v="5"/>
    <x v="27"/>
    <x v="1"/>
  </r>
  <r>
    <x v="30"/>
    <x v="30"/>
    <x v="29"/>
    <x v="25"/>
    <x v="2"/>
    <x v="1"/>
    <x v="1"/>
    <x v="0"/>
    <x v="8"/>
    <x v="28"/>
    <x v="1"/>
  </r>
  <r>
    <x v="31"/>
    <x v="31"/>
    <x v="30"/>
    <x v="26"/>
    <x v="0"/>
    <x v="3"/>
    <x v="2"/>
    <x v="1"/>
    <x v="9"/>
    <x v="29"/>
    <x v="1"/>
  </r>
  <r>
    <x v="32"/>
    <x v="32"/>
    <x v="31"/>
    <x v="27"/>
    <x v="0"/>
    <x v="3"/>
    <x v="1"/>
    <x v="1"/>
    <x v="1"/>
    <x v="30"/>
    <x v="1"/>
  </r>
  <r>
    <x v="33"/>
    <x v="33"/>
    <x v="32"/>
    <x v="28"/>
    <x v="3"/>
    <x v="2"/>
    <x v="3"/>
    <x v="0"/>
    <x v="17"/>
    <x v="31"/>
    <x v="1"/>
  </r>
  <r>
    <x v="34"/>
    <x v="34"/>
    <x v="33"/>
    <x v="29"/>
    <x v="3"/>
    <x v="1"/>
    <x v="2"/>
    <x v="0"/>
    <x v="1"/>
    <x v="32"/>
    <x v="1"/>
  </r>
  <r>
    <x v="35"/>
    <x v="35"/>
    <x v="34"/>
    <x v="30"/>
    <x v="3"/>
    <x v="4"/>
    <x v="0"/>
    <x v="1"/>
    <x v="1"/>
    <x v="33"/>
    <x v="1"/>
  </r>
  <r>
    <x v="36"/>
    <x v="36"/>
    <x v="35"/>
    <x v="31"/>
    <x v="0"/>
    <x v="1"/>
    <x v="2"/>
    <x v="0"/>
    <x v="2"/>
    <x v="34"/>
    <x v="1"/>
  </r>
  <r>
    <x v="37"/>
    <x v="37"/>
    <x v="36"/>
    <x v="32"/>
    <x v="3"/>
    <x v="0"/>
    <x v="0"/>
    <x v="1"/>
    <x v="10"/>
    <x v="35"/>
    <x v="1"/>
  </r>
  <r>
    <x v="38"/>
    <x v="38"/>
    <x v="37"/>
    <x v="33"/>
    <x v="0"/>
    <x v="4"/>
    <x v="1"/>
    <x v="0"/>
    <x v="15"/>
    <x v="36"/>
    <x v="1"/>
  </r>
  <r>
    <x v="39"/>
    <x v="39"/>
    <x v="38"/>
    <x v="20"/>
    <x v="2"/>
    <x v="0"/>
    <x v="0"/>
    <x v="0"/>
    <x v="4"/>
    <x v="37"/>
    <x v="1"/>
  </r>
  <r>
    <x v="40"/>
    <x v="40"/>
    <x v="39"/>
    <x v="34"/>
    <x v="0"/>
    <x v="3"/>
    <x v="2"/>
    <x v="1"/>
    <x v="1"/>
    <x v="14"/>
    <x v="1"/>
  </r>
  <r>
    <x v="41"/>
    <x v="41"/>
    <x v="40"/>
    <x v="35"/>
    <x v="4"/>
    <x v="3"/>
    <x v="2"/>
    <x v="1"/>
    <x v="13"/>
    <x v="38"/>
    <x v="1"/>
  </r>
  <r>
    <x v="42"/>
    <x v="42"/>
    <x v="41"/>
    <x v="36"/>
    <x v="3"/>
    <x v="2"/>
    <x v="0"/>
    <x v="1"/>
    <x v="13"/>
    <x v="39"/>
    <x v="1"/>
  </r>
  <r>
    <x v="43"/>
    <x v="43"/>
    <x v="42"/>
    <x v="37"/>
    <x v="1"/>
    <x v="3"/>
    <x v="2"/>
    <x v="0"/>
    <x v="18"/>
    <x v="40"/>
    <x v="1"/>
  </r>
  <r>
    <x v="23"/>
    <x v="23"/>
    <x v="22"/>
    <x v="18"/>
    <x v="3"/>
    <x v="4"/>
    <x v="2"/>
    <x v="0"/>
    <x v="1"/>
    <x v="21"/>
    <x v="1"/>
  </r>
  <r>
    <x v="44"/>
    <x v="44"/>
    <x v="43"/>
    <x v="38"/>
    <x v="3"/>
    <x v="3"/>
    <x v="3"/>
    <x v="0"/>
    <x v="16"/>
    <x v="41"/>
    <x v="1"/>
  </r>
  <r>
    <x v="45"/>
    <x v="45"/>
    <x v="44"/>
    <x v="39"/>
    <x v="4"/>
    <x v="3"/>
    <x v="1"/>
    <x v="1"/>
    <x v="19"/>
    <x v="42"/>
    <x v="1"/>
  </r>
  <r>
    <x v="46"/>
    <x v="46"/>
    <x v="43"/>
    <x v="40"/>
    <x v="4"/>
    <x v="3"/>
    <x v="3"/>
    <x v="1"/>
    <x v="1"/>
    <x v="43"/>
    <x v="1"/>
  </r>
  <r>
    <x v="47"/>
    <x v="47"/>
    <x v="45"/>
    <x v="41"/>
    <x v="2"/>
    <x v="2"/>
    <x v="2"/>
    <x v="0"/>
    <x v="20"/>
    <x v="44"/>
    <x v="1"/>
  </r>
  <r>
    <x v="48"/>
    <x v="48"/>
    <x v="38"/>
    <x v="42"/>
    <x v="3"/>
    <x v="3"/>
    <x v="2"/>
    <x v="1"/>
    <x v="1"/>
    <x v="45"/>
    <x v="1"/>
  </r>
  <r>
    <x v="31"/>
    <x v="31"/>
    <x v="30"/>
    <x v="26"/>
    <x v="0"/>
    <x v="3"/>
    <x v="2"/>
    <x v="1"/>
    <x v="9"/>
    <x v="29"/>
    <x v="1"/>
  </r>
  <r>
    <x v="49"/>
    <x v="49"/>
    <x v="46"/>
    <x v="43"/>
    <x v="2"/>
    <x v="4"/>
    <x v="1"/>
    <x v="1"/>
    <x v="3"/>
    <x v="4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BC5D9-8A7C-442C-AAF9-1EF56BB312A9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8:B109" firstHeaderRow="1" firstDataRow="1" firstDataCol="1"/>
  <pivotFields count="13">
    <pivotField axis="axisRow" showAll="0">
      <items count="51">
        <item x="27"/>
        <item x="34"/>
        <item x="36"/>
        <item x="8"/>
        <item x="14"/>
        <item x="5"/>
        <item x="12"/>
        <item x="45"/>
        <item x="10"/>
        <item x="21"/>
        <item x="41"/>
        <item x="26"/>
        <item x="3"/>
        <item x="7"/>
        <item x="47"/>
        <item x="20"/>
        <item x="22"/>
        <item x="6"/>
        <item x="43"/>
        <item x="0"/>
        <item x="44"/>
        <item x="35"/>
        <item x="42"/>
        <item x="39"/>
        <item x="16"/>
        <item x="25"/>
        <item x="11"/>
        <item x="29"/>
        <item x="48"/>
        <item x="32"/>
        <item x="23"/>
        <item x="30"/>
        <item x="9"/>
        <item x="18"/>
        <item x="13"/>
        <item x="38"/>
        <item x="24"/>
        <item x="15"/>
        <item x="49"/>
        <item x="31"/>
        <item x="37"/>
        <item x="1"/>
        <item x="46"/>
        <item x="4"/>
        <item x="17"/>
        <item x="33"/>
        <item x="28"/>
        <item x="2"/>
        <item x="40"/>
        <item x="19"/>
        <item t="default"/>
      </items>
    </pivotField>
    <pivotField showAll="0">
      <items count="51">
        <item x="27"/>
        <item x="21"/>
        <item x="41"/>
        <item x="26"/>
        <item x="3"/>
        <item x="7"/>
        <item x="47"/>
        <item x="20"/>
        <item x="22"/>
        <item x="6"/>
        <item x="43"/>
        <item x="34"/>
        <item x="0"/>
        <item x="44"/>
        <item x="35"/>
        <item x="42"/>
        <item x="39"/>
        <item x="16"/>
        <item x="25"/>
        <item x="11"/>
        <item x="29"/>
        <item x="48"/>
        <item x="36"/>
        <item x="32"/>
        <item x="23"/>
        <item x="30"/>
        <item x="9"/>
        <item x="18"/>
        <item x="13"/>
        <item x="38"/>
        <item x="24"/>
        <item x="15"/>
        <item x="49"/>
        <item x="8"/>
        <item x="31"/>
        <item x="37"/>
        <item x="1"/>
        <item x="46"/>
        <item x="4"/>
        <item x="17"/>
        <item x="33"/>
        <item x="28"/>
        <item x="2"/>
        <item x="40"/>
        <item x="14"/>
        <item x="19"/>
        <item x="5"/>
        <item x="12"/>
        <item x="45"/>
        <item x="10"/>
        <item t="default"/>
      </items>
    </pivotField>
    <pivotField showAll="0">
      <items count="48">
        <item x="8"/>
        <item x="33"/>
        <item x="39"/>
        <item x="35"/>
        <item x="38"/>
        <item x="16"/>
        <item x="30"/>
        <item x="28"/>
        <item x="15"/>
        <item x="31"/>
        <item x="10"/>
        <item x="43"/>
        <item x="44"/>
        <item x="22"/>
        <item x="32"/>
        <item x="45"/>
        <item x="13"/>
        <item x="25"/>
        <item x="24"/>
        <item x="46"/>
        <item x="20"/>
        <item x="9"/>
        <item x="36"/>
        <item x="21"/>
        <item x="23"/>
        <item x="19"/>
        <item x="37"/>
        <item x="7"/>
        <item x="40"/>
        <item x="42"/>
        <item x="14"/>
        <item x="41"/>
        <item x="17"/>
        <item x="34"/>
        <item x="27"/>
        <item x="11"/>
        <item x="12"/>
        <item x="18"/>
        <item x="26"/>
        <item x="29"/>
        <item x="5"/>
        <item x="3"/>
        <item x="1"/>
        <item x="0"/>
        <item x="6"/>
        <item x="2"/>
        <item x="4"/>
        <item t="default"/>
      </items>
    </pivotField>
    <pivotField showAll="0">
      <items count="45">
        <item x="11"/>
        <item x="25"/>
        <item x="42"/>
        <item x="3"/>
        <item x="22"/>
        <item x="14"/>
        <item x="38"/>
        <item x="31"/>
        <item x="16"/>
        <item x="0"/>
        <item x="36"/>
        <item x="26"/>
        <item x="34"/>
        <item x="28"/>
        <item x="43"/>
        <item x="13"/>
        <item x="8"/>
        <item x="23"/>
        <item x="17"/>
        <item x="41"/>
        <item x="24"/>
        <item x="19"/>
        <item x="20"/>
        <item x="9"/>
        <item x="1"/>
        <item x="12"/>
        <item x="6"/>
        <item x="33"/>
        <item x="27"/>
        <item x="30"/>
        <item x="29"/>
        <item x="10"/>
        <item x="21"/>
        <item x="2"/>
        <item x="7"/>
        <item x="39"/>
        <item x="18"/>
        <item x="40"/>
        <item x="32"/>
        <item x="5"/>
        <item x="15"/>
        <item x="35"/>
        <item x="4"/>
        <item x="37"/>
        <item t="default"/>
      </items>
    </pivotField>
    <pivotField showAll="0">
      <items count="6">
        <item x="1"/>
        <item x="4"/>
        <item x="0"/>
        <item x="2"/>
        <item x="3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numFmtId="166" showAll="0">
      <items count="48">
        <item x="45"/>
        <item x="46"/>
        <item x="23"/>
        <item x="22"/>
        <item x="41"/>
        <item x="28"/>
        <item x="31"/>
        <item x="0"/>
        <item x="34"/>
        <item x="29"/>
        <item x="36"/>
        <item x="44"/>
        <item x="3"/>
        <item x="10"/>
        <item x="14"/>
        <item x="18"/>
        <item x="24"/>
        <item x="11"/>
        <item x="16"/>
        <item x="27"/>
        <item x="17"/>
        <item x="20"/>
        <item x="39"/>
        <item x="15"/>
        <item x="37"/>
        <item x="13"/>
        <item x="30"/>
        <item x="1"/>
        <item x="26"/>
        <item x="8"/>
        <item x="12"/>
        <item x="32"/>
        <item x="5"/>
        <item x="33"/>
        <item x="2"/>
        <item x="9"/>
        <item x="25"/>
        <item x="7"/>
        <item x="38"/>
        <item x="4"/>
        <item x="19"/>
        <item x="35"/>
        <item x="6"/>
        <item x="21"/>
        <item x="42"/>
        <item x="40"/>
        <item x="43"/>
        <item t="default"/>
      </items>
    </pivotField>
    <pivotField showAll="0">
      <items count="3">
        <item x="1"/>
        <item x="0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ime Near Painting (min)" fld="8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E5578-89CE-4E92-BA26-6AC9761E899C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9">
    <pivotField dataField="1" showAll="0"/>
    <pivotField axis="axisRow" showAll="0">
      <items count="51">
        <item x="27"/>
        <item x="21"/>
        <item x="41"/>
        <item x="26"/>
        <item x="3"/>
        <item x="7"/>
        <item x="47"/>
        <item x="20"/>
        <item x="22"/>
        <item x="6"/>
        <item x="43"/>
        <item x="34"/>
        <item x="0"/>
        <item x="44"/>
        <item x="35"/>
        <item x="42"/>
        <item x="39"/>
        <item x="16"/>
        <item x="25"/>
        <item x="11"/>
        <item x="29"/>
        <item x="48"/>
        <item x="36"/>
        <item x="32"/>
        <item x="23"/>
        <item x="30"/>
        <item x="9"/>
        <item x="18"/>
        <item x="13"/>
        <item x="38"/>
        <item x="24"/>
        <item x="15"/>
        <item x="49"/>
        <item x="8"/>
        <item x="31"/>
        <item x="37"/>
        <item x="1"/>
        <item x="46"/>
        <item x="4"/>
        <item x="17"/>
        <item x="33"/>
        <item x="28"/>
        <item x="2"/>
        <item x="40"/>
        <item x="14"/>
        <item x="19"/>
        <item x="5"/>
        <item x="12"/>
        <item x="45"/>
        <item x="10"/>
        <item t="default"/>
      </items>
    </pivotField>
    <pivotField showAll="0"/>
    <pivotField showAll="0"/>
    <pivotField showAll="0"/>
    <pivotField showAll="0"/>
    <pivotField axis="axisRow" showAll="0">
      <items count="5">
        <item sd="0" x="0"/>
        <item sd="0" x="2"/>
        <item sd="0" x="1"/>
        <item sd="0" x="3"/>
        <item t="default" sd="0"/>
      </items>
    </pivotField>
    <pivotField showAll="0"/>
    <pivotField dataField="1" showAll="0"/>
  </pivotFields>
  <rowFields count="2">
    <field x="6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isitor ID" fld="0" subtotal="count" baseField="0" baseItem="0"/>
    <dataField name="Sum of Time Near Painting (min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97CDB-29C6-4EB5-949C-87BAB68E3C8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52" firstHeaderRow="1" firstDataRow="1" firstDataCol="1"/>
  <pivotFields count="12">
    <pivotField axis="axisRow" showAll="0">
      <items count="51">
        <item x="27"/>
        <item x="34"/>
        <item x="36"/>
        <item x="8"/>
        <item x="14"/>
        <item x="5"/>
        <item x="12"/>
        <item x="45"/>
        <item x="10"/>
        <item x="21"/>
        <item x="41"/>
        <item x="26"/>
        <item x="3"/>
        <item x="7"/>
        <item x="47"/>
        <item x="20"/>
        <item x="22"/>
        <item x="6"/>
        <item x="43"/>
        <item x="0"/>
        <item x="44"/>
        <item x="35"/>
        <item x="42"/>
        <item x="39"/>
        <item x="16"/>
        <item x="25"/>
        <item x="11"/>
        <item x="29"/>
        <item x="48"/>
        <item x="32"/>
        <item x="23"/>
        <item x="30"/>
        <item x="9"/>
        <item x="18"/>
        <item x="13"/>
        <item x="38"/>
        <item x="24"/>
        <item x="15"/>
        <item x="49"/>
        <item x="31"/>
        <item x="37"/>
        <item x="1"/>
        <item x="46"/>
        <item x="4"/>
        <item x="17"/>
        <item x="33"/>
        <item x="28"/>
        <item x="2"/>
        <item x="40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ime Near Painting (min)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9"/>
  <sheetViews>
    <sheetView tabSelected="1" zoomScale="75" zoomScaleNormal="75" workbookViewId="0">
      <selection activeCell="D8" sqref="D8"/>
    </sheetView>
  </sheetViews>
  <sheetFormatPr defaultRowHeight="15" x14ac:dyDescent="0.25"/>
  <cols>
    <col min="1" max="1" width="14.42578125" style="8" bestFit="1" customWidth="1"/>
    <col min="2" max="2" width="30.7109375" style="8" bestFit="1" customWidth="1"/>
    <col min="3" max="4" width="31" style="44" bestFit="1" customWidth="1"/>
    <col min="5" max="5" width="24.140625" style="20" customWidth="1"/>
    <col min="6" max="6" width="24.42578125" customWidth="1"/>
    <col min="7" max="7" width="25" customWidth="1"/>
    <col min="8" max="8" width="23.42578125" style="20" bestFit="1" customWidth="1"/>
    <col min="9" max="9" width="28.140625" bestFit="1" customWidth="1"/>
    <col min="10" max="10" width="19" style="24" customWidth="1"/>
    <col min="11" max="11" width="19" style="4" customWidth="1"/>
    <col min="12" max="12" width="9.140625" style="4"/>
  </cols>
  <sheetData>
    <row r="1" spans="1:12" x14ac:dyDescent="0.25">
      <c r="A1" s="6" t="s">
        <v>0</v>
      </c>
      <c r="B1" s="6" t="s">
        <v>1</v>
      </c>
      <c r="C1" s="41" t="s">
        <v>2</v>
      </c>
      <c r="D1" s="41" t="s">
        <v>3</v>
      </c>
      <c r="E1" s="26" t="s">
        <v>4</v>
      </c>
      <c r="F1" s="6" t="s">
        <v>5</v>
      </c>
      <c r="G1" s="6" t="s">
        <v>6</v>
      </c>
      <c r="H1" s="22" t="s">
        <v>7</v>
      </c>
      <c r="I1" s="6" t="s">
        <v>8</v>
      </c>
      <c r="J1" s="27" t="s">
        <v>196</v>
      </c>
      <c r="K1" s="6" t="s">
        <v>198</v>
      </c>
      <c r="L1" s="28" t="s">
        <v>199</v>
      </c>
    </row>
    <row r="2" spans="1:12" x14ac:dyDescent="0.25">
      <c r="A2" s="7" t="s">
        <v>9</v>
      </c>
      <c r="B2" s="7" t="s">
        <v>59</v>
      </c>
      <c r="C2" s="42">
        <v>0.43333333333333335</v>
      </c>
      <c r="D2" s="42" t="s">
        <v>157</v>
      </c>
      <c r="E2" s="30" t="s">
        <v>178</v>
      </c>
      <c r="F2" s="7" t="s">
        <v>183</v>
      </c>
      <c r="G2" s="7" t="s">
        <v>187</v>
      </c>
      <c r="H2" s="31" t="s">
        <v>189</v>
      </c>
      <c r="I2" s="4">
        <v>4</v>
      </c>
      <c r="J2" s="23">
        <f>D2-C2</f>
        <v>2.2222222222222199E-2</v>
      </c>
      <c r="K2" s="25" t="str">
        <f>IF(AND(E2="Gallery B",C2&lt;=TIME(10,45,0),D2&gt;=TIME(10,45,0)), "Suspect", "Not Suspect")</f>
        <v>Suspect</v>
      </c>
      <c r="L2" s="24">
        <f t="shared" ref="L2:L3" si="0">MEDIAN(I2:I54)</f>
        <v>13</v>
      </c>
    </row>
    <row r="3" spans="1:12" x14ac:dyDescent="0.25">
      <c r="A3" s="7" t="s">
        <v>10</v>
      </c>
      <c r="B3" s="7" t="s">
        <v>60</v>
      </c>
      <c r="C3" s="42">
        <v>0.4201388888888889</v>
      </c>
      <c r="D3" s="42">
        <v>0.51388888888888884</v>
      </c>
      <c r="E3" s="30" t="s">
        <v>178</v>
      </c>
      <c r="F3" s="33" t="s">
        <v>197</v>
      </c>
      <c r="G3" s="7" t="s">
        <v>187</v>
      </c>
      <c r="H3" s="31" t="s">
        <v>189</v>
      </c>
      <c r="I3" s="35">
        <v>13</v>
      </c>
      <c r="J3" s="23">
        <f t="shared" ref="J3:J54" si="1">D3-C3</f>
        <v>9.3749999999999944E-2</v>
      </c>
      <c r="K3" s="25" t="str">
        <f t="shared" ref="K3:K54" si="2">IF(AND(E3="Gallery B",C3&lt;=TIME(10,45,0),D3&gt;=TIME(10,45,0)), "Suspect", "Not Suspect")</f>
        <v>Suspect</v>
      </c>
      <c r="L3" s="24">
        <f t="shared" si="0"/>
        <v>13</v>
      </c>
    </row>
    <row r="4" spans="1:12" x14ac:dyDescent="0.25">
      <c r="A4" s="7" t="s">
        <v>11</v>
      </c>
      <c r="B4" s="7" t="s">
        <v>61</v>
      </c>
      <c r="C4" s="42">
        <v>0.48402777777777778</v>
      </c>
      <c r="D4" s="42">
        <v>0.92708333333333337</v>
      </c>
      <c r="E4" s="30" t="s">
        <v>179</v>
      </c>
      <c r="F4" s="7" t="s">
        <v>184</v>
      </c>
      <c r="G4" s="7" t="s">
        <v>188</v>
      </c>
      <c r="H4" s="32" t="s">
        <v>190</v>
      </c>
      <c r="I4" s="4">
        <v>20</v>
      </c>
      <c r="J4" s="23">
        <f t="shared" si="1"/>
        <v>0.44305555555555559</v>
      </c>
      <c r="K4" s="29" t="str">
        <f t="shared" si="2"/>
        <v>Not Suspect</v>
      </c>
      <c r="L4" s="24">
        <f t="shared" ref="L4:L35" si="3">MEDIAN(I4:I57)</f>
        <v>13</v>
      </c>
    </row>
    <row r="5" spans="1:12" x14ac:dyDescent="0.25">
      <c r="A5" s="7" t="s">
        <v>12</v>
      </c>
      <c r="B5" s="7" t="s">
        <v>62</v>
      </c>
      <c r="C5" s="42">
        <v>0.40138888888888891</v>
      </c>
      <c r="D5" s="42" t="s">
        <v>159</v>
      </c>
      <c r="E5" s="30" t="s">
        <v>180</v>
      </c>
      <c r="F5" s="7" t="s">
        <v>185</v>
      </c>
      <c r="G5" s="7" t="s">
        <v>188</v>
      </c>
      <c r="H5" s="32" t="s">
        <v>190</v>
      </c>
      <c r="I5" s="4">
        <v>7</v>
      </c>
      <c r="J5" s="23">
        <f t="shared" si="1"/>
        <v>3.8888888888888862E-2</v>
      </c>
      <c r="K5" s="29" t="str">
        <f t="shared" si="2"/>
        <v>Not Suspect</v>
      </c>
      <c r="L5" s="24">
        <f t="shared" si="3"/>
        <v>13</v>
      </c>
    </row>
    <row r="6" spans="1:12" x14ac:dyDescent="0.25">
      <c r="A6" s="7" t="s">
        <v>13</v>
      </c>
      <c r="B6" s="7" t="s">
        <v>63</v>
      </c>
      <c r="C6" s="42">
        <v>0.49444444444444446</v>
      </c>
      <c r="D6" s="42">
        <v>0.96527777777777779</v>
      </c>
      <c r="E6" s="30" t="s">
        <v>181</v>
      </c>
      <c r="F6" s="7" t="s">
        <v>184</v>
      </c>
      <c r="G6" s="7" t="s">
        <v>183</v>
      </c>
      <c r="H6" s="31" t="s">
        <v>189</v>
      </c>
      <c r="I6" s="4">
        <v>2</v>
      </c>
      <c r="J6" s="23">
        <f t="shared" si="1"/>
        <v>0.47083333333333333</v>
      </c>
      <c r="K6" s="29" t="str">
        <f t="shared" si="2"/>
        <v>Not Suspect</v>
      </c>
      <c r="L6" s="24">
        <f t="shared" si="3"/>
        <v>13</v>
      </c>
    </row>
    <row r="7" spans="1:12" x14ac:dyDescent="0.25">
      <c r="A7" s="7" t="s">
        <v>14</v>
      </c>
      <c r="B7" s="7" t="s">
        <v>64</v>
      </c>
      <c r="C7" s="42">
        <v>0.38194444444444442</v>
      </c>
      <c r="D7" s="42">
        <v>0.51388888888888884</v>
      </c>
      <c r="E7" s="30" t="s">
        <v>181</v>
      </c>
      <c r="F7" s="7" t="s">
        <v>183</v>
      </c>
      <c r="G7" s="33" t="s">
        <v>197</v>
      </c>
      <c r="H7" s="32" t="s">
        <v>190</v>
      </c>
      <c r="I7" s="34">
        <v>13</v>
      </c>
      <c r="J7" s="23">
        <f t="shared" si="1"/>
        <v>0.13194444444444442</v>
      </c>
      <c r="K7" s="29" t="str">
        <f t="shared" si="2"/>
        <v>Not Suspect</v>
      </c>
      <c r="L7" s="24">
        <f t="shared" si="3"/>
        <v>13</v>
      </c>
    </row>
    <row r="8" spans="1:12" x14ac:dyDescent="0.25">
      <c r="A8" s="7" t="s">
        <v>15</v>
      </c>
      <c r="B8" s="7" t="s">
        <v>65</v>
      </c>
      <c r="C8" s="42">
        <v>0.43888888888888888</v>
      </c>
      <c r="D8" s="42">
        <v>0.92708333333333337</v>
      </c>
      <c r="E8" s="30" t="s">
        <v>179</v>
      </c>
      <c r="F8" s="7" t="s">
        <v>183</v>
      </c>
      <c r="G8" s="7" t="s">
        <v>183</v>
      </c>
      <c r="H8" s="32" t="s">
        <v>190</v>
      </c>
      <c r="I8" s="4">
        <v>2</v>
      </c>
      <c r="J8" s="23">
        <f t="shared" si="1"/>
        <v>0.48819444444444449</v>
      </c>
      <c r="K8" s="29" t="str">
        <f t="shared" si="2"/>
        <v>Not Suspect</v>
      </c>
      <c r="L8" s="24">
        <f t="shared" si="3"/>
        <v>13</v>
      </c>
    </row>
    <row r="9" spans="1:12" x14ac:dyDescent="0.25">
      <c r="A9" s="7" t="s">
        <v>16</v>
      </c>
      <c r="B9" s="7" t="s">
        <v>66</v>
      </c>
      <c r="C9" s="42" t="s">
        <v>116</v>
      </c>
      <c r="D9" s="42">
        <v>0.95763888888888893</v>
      </c>
      <c r="E9" s="30" t="s">
        <v>182</v>
      </c>
      <c r="F9" s="7" t="s">
        <v>184</v>
      </c>
      <c r="G9" s="7" t="s">
        <v>187</v>
      </c>
      <c r="H9" s="32" t="s">
        <v>190</v>
      </c>
      <c r="I9" s="4">
        <v>2</v>
      </c>
      <c r="J9" s="23">
        <f t="shared" si="1"/>
        <v>0.46527777777777779</v>
      </c>
      <c r="K9" s="29" t="str">
        <f t="shared" si="2"/>
        <v>Not Suspect</v>
      </c>
      <c r="L9" s="24">
        <f t="shared" si="3"/>
        <v>13</v>
      </c>
    </row>
    <row r="10" spans="1:12" x14ac:dyDescent="0.25">
      <c r="A10" s="7" t="s">
        <v>17</v>
      </c>
      <c r="B10" s="7" t="s">
        <v>67</v>
      </c>
      <c r="C10" s="42" t="s">
        <v>117</v>
      </c>
      <c r="D10" s="42">
        <v>0.51944444444444449</v>
      </c>
      <c r="E10" s="30" t="s">
        <v>182</v>
      </c>
      <c r="F10" s="7" t="s">
        <v>185</v>
      </c>
      <c r="G10" s="7" t="s">
        <v>188</v>
      </c>
      <c r="H10" s="31" t="s">
        <v>189</v>
      </c>
      <c r="I10" s="4">
        <v>21</v>
      </c>
      <c r="J10" s="23">
        <f t="shared" si="1"/>
        <v>9.8611111111111149E-2</v>
      </c>
      <c r="K10" s="29" t="str">
        <f t="shared" si="2"/>
        <v>Not Suspect</v>
      </c>
      <c r="L10" s="24">
        <f t="shared" si="3"/>
        <v>13</v>
      </c>
    </row>
    <row r="11" spans="1:12" x14ac:dyDescent="0.25">
      <c r="A11" s="7" t="s">
        <v>18</v>
      </c>
      <c r="B11" s="7" t="s">
        <v>68</v>
      </c>
      <c r="C11" s="42" t="s">
        <v>118</v>
      </c>
      <c r="D11" s="42">
        <v>0.92986111111111114</v>
      </c>
      <c r="E11" s="30" t="s">
        <v>178</v>
      </c>
      <c r="F11" s="7" t="s">
        <v>184</v>
      </c>
      <c r="G11" s="7" t="s">
        <v>188</v>
      </c>
      <c r="H11" s="32" t="s">
        <v>190</v>
      </c>
      <c r="I11" s="4">
        <v>0</v>
      </c>
      <c r="J11" s="23">
        <f t="shared" si="1"/>
        <v>0.45902777777777781</v>
      </c>
      <c r="K11" s="29" t="str">
        <f t="shared" si="2"/>
        <v>Not Suspect</v>
      </c>
      <c r="L11" s="24">
        <f t="shared" si="3"/>
        <v>13</v>
      </c>
    </row>
    <row r="12" spans="1:12" x14ac:dyDescent="0.25">
      <c r="A12" s="7" t="s">
        <v>16</v>
      </c>
      <c r="B12" s="7" t="s">
        <v>66</v>
      </c>
      <c r="C12" s="42" t="s">
        <v>116</v>
      </c>
      <c r="D12" s="42">
        <v>0.95763888888888893</v>
      </c>
      <c r="E12" s="30" t="s">
        <v>182</v>
      </c>
      <c r="F12" s="7" t="s">
        <v>184</v>
      </c>
      <c r="G12" s="7" t="s">
        <v>187</v>
      </c>
      <c r="H12" s="32" t="s">
        <v>190</v>
      </c>
      <c r="I12" s="4">
        <v>2</v>
      </c>
      <c r="J12" s="23">
        <f t="shared" si="1"/>
        <v>0.46527777777777779</v>
      </c>
      <c r="K12" s="29" t="str">
        <f t="shared" si="2"/>
        <v>Not Suspect</v>
      </c>
      <c r="L12" s="24">
        <f t="shared" si="3"/>
        <v>13</v>
      </c>
    </row>
    <row r="13" spans="1:12" x14ac:dyDescent="0.25">
      <c r="A13" s="7" t="s">
        <v>19</v>
      </c>
      <c r="B13" s="7" t="s">
        <v>69</v>
      </c>
      <c r="C13" s="42" t="s">
        <v>119</v>
      </c>
      <c r="D13" s="42" t="s">
        <v>162</v>
      </c>
      <c r="E13" s="30" t="s">
        <v>179</v>
      </c>
      <c r="F13" s="7" t="s">
        <v>186</v>
      </c>
      <c r="G13" s="7" t="s">
        <v>188</v>
      </c>
      <c r="H13" s="31" t="s">
        <v>189</v>
      </c>
      <c r="I13" s="4">
        <v>1</v>
      </c>
      <c r="J13" s="23">
        <f t="shared" si="1"/>
        <v>4.1666666666666685E-2</v>
      </c>
      <c r="K13" s="29" t="str">
        <f t="shared" si="2"/>
        <v>Not Suspect</v>
      </c>
      <c r="L13" s="24">
        <f t="shared" si="3"/>
        <v>13</v>
      </c>
    </row>
    <row r="14" spans="1:12" x14ac:dyDescent="0.25">
      <c r="A14" s="7" t="s">
        <v>20</v>
      </c>
      <c r="B14" s="7" t="s">
        <v>70</v>
      </c>
      <c r="C14" s="42" t="s">
        <v>120</v>
      </c>
      <c r="D14" s="42" t="s">
        <v>159</v>
      </c>
      <c r="E14" s="30" t="s">
        <v>178</v>
      </c>
      <c r="F14" s="7" t="s">
        <v>186</v>
      </c>
      <c r="G14" s="7" t="s">
        <v>188</v>
      </c>
      <c r="H14" s="31" t="s">
        <v>189</v>
      </c>
      <c r="I14" s="4">
        <v>16</v>
      </c>
      <c r="J14" s="23">
        <f t="shared" si="1"/>
        <v>4.6527777777777779E-2</v>
      </c>
      <c r="K14" s="29" t="str">
        <f t="shared" si="2"/>
        <v>Not Suspect</v>
      </c>
      <c r="L14" s="24">
        <f t="shared" si="3"/>
        <v>13</v>
      </c>
    </row>
    <row r="15" spans="1:12" x14ac:dyDescent="0.25">
      <c r="A15" s="7" t="s">
        <v>21</v>
      </c>
      <c r="B15" s="7" t="s">
        <v>71</v>
      </c>
      <c r="C15" s="42" t="s">
        <v>121</v>
      </c>
      <c r="D15" s="42">
        <v>0.50902777777777775</v>
      </c>
      <c r="E15" s="30" t="s">
        <v>179</v>
      </c>
      <c r="F15" s="7" t="s">
        <v>185</v>
      </c>
      <c r="G15" s="7" t="s">
        <v>188</v>
      </c>
      <c r="H15" s="31" t="s">
        <v>189</v>
      </c>
      <c r="I15" s="4">
        <v>24</v>
      </c>
      <c r="J15" s="23">
        <f t="shared" si="1"/>
        <v>0.11388888888888887</v>
      </c>
      <c r="K15" s="29" t="str">
        <f t="shared" si="2"/>
        <v>Not Suspect</v>
      </c>
      <c r="L15" s="24">
        <f t="shared" si="3"/>
        <v>13</v>
      </c>
    </row>
    <row r="16" spans="1:12" x14ac:dyDescent="0.25">
      <c r="A16" s="7" t="s">
        <v>22</v>
      </c>
      <c r="B16" s="7" t="s">
        <v>72</v>
      </c>
      <c r="C16" s="42" t="s">
        <v>122</v>
      </c>
      <c r="D16" s="42">
        <v>0.54097222222222219</v>
      </c>
      <c r="E16" s="30" t="s">
        <v>181</v>
      </c>
      <c r="F16" s="7" t="s">
        <v>185</v>
      </c>
      <c r="G16" s="7" t="s">
        <v>188</v>
      </c>
      <c r="H16" s="31" t="s">
        <v>189</v>
      </c>
      <c r="I16" s="4">
        <v>4</v>
      </c>
      <c r="J16" s="23">
        <f t="shared" si="1"/>
        <v>8.4722222222222199E-2</v>
      </c>
      <c r="K16" s="29" t="str">
        <f t="shared" si="2"/>
        <v>Not Suspect</v>
      </c>
      <c r="L16" s="24">
        <f t="shared" si="3"/>
        <v>13</v>
      </c>
    </row>
    <row r="17" spans="1:12" x14ac:dyDescent="0.25">
      <c r="A17" s="7" t="s">
        <v>23</v>
      </c>
      <c r="B17" s="7" t="s">
        <v>73</v>
      </c>
      <c r="C17" s="42" t="s">
        <v>123</v>
      </c>
      <c r="D17" s="42" t="s">
        <v>163</v>
      </c>
      <c r="E17" s="30" t="s">
        <v>179</v>
      </c>
      <c r="F17" s="7" t="s">
        <v>186</v>
      </c>
      <c r="G17" s="7" t="s">
        <v>188</v>
      </c>
      <c r="H17" s="32" t="s">
        <v>190</v>
      </c>
      <c r="I17" s="4">
        <v>10</v>
      </c>
      <c r="J17" s="23">
        <f t="shared" si="1"/>
        <v>4.3055555555555569E-2</v>
      </c>
      <c r="K17" s="29" t="str">
        <f t="shared" si="2"/>
        <v>Not Suspect</v>
      </c>
      <c r="L17" s="24">
        <f t="shared" si="3"/>
        <v>13</v>
      </c>
    </row>
    <row r="18" spans="1:12" x14ac:dyDescent="0.25">
      <c r="A18" s="7" t="s">
        <v>24</v>
      </c>
      <c r="B18" s="7" t="s">
        <v>74</v>
      </c>
      <c r="C18" s="42" t="s">
        <v>124</v>
      </c>
      <c r="D18" s="42">
        <v>0.5180555555555556</v>
      </c>
      <c r="E18" s="30" t="s">
        <v>180</v>
      </c>
      <c r="F18" s="7" t="s">
        <v>186</v>
      </c>
      <c r="G18" s="7" t="s">
        <v>187</v>
      </c>
      <c r="H18" s="32" t="s">
        <v>190</v>
      </c>
      <c r="I18" s="4">
        <v>10</v>
      </c>
      <c r="J18" s="23">
        <f t="shared" si="1"/>
        <v>8.1250000000000044E-2</v>
      </c>
      <c r="K18" s="29" t="str">
        <f t="shared" si="2"/>
        <v>Not Suspect</v>
      </c>
      <c r="L18" s="24">
        <f t="shared" si="3"/>
        <v>13</v>
      </c>
    </row>
    <row r="19" spans="1:12" x14ac:dyDescent="0.25">
      <c r="A19" s="7" t="s">
        <v>25</v>
      </c>
      <c r="B19" s="7" t="s">
        <v>75</v>
      </c>
      <c r="C19" s="42" t="s">
        <v>125</v>
      </c>
      <c r="D19" s="42" t="s">
        <v>164</v>
      </c>
      <c r="E19" s="30" t="s">
        <v>178</v>
      </c>
      <c r="F19" s="7" t="s">
        <v>183</v>
      </c>
      <c r="G19" s="7" t="s">
        <v>188</v>
      </c>
      <c r="H19" s="31" t="s">
        <v>189</v>
      </c>
      <c r="I19" s="34">
        <v>13</v>
      </c>
      <c r="J19" s="23">
        <f t="shared" si="1"/>
        <v>4.9999999999999989E-2</v>
      </c>
      <c r="K19" s="29" t="str">
        <f t="shared" si="2"/>
        <v>Not Suspect</v>
      </c>
      <c r="L19" s="24">
        <f t="shared" si="3"/>
        <v>13</v>
      </c>
    </row>
    <row r="20" spans="1:12" x14ac:dyDescent="0.25">
      <c r="A20" s="7" t="s">
        <v>26</v>
      </c>
      <c r="B20" s="7" t="s">
        <v>76</v>
      </c>
      <c r="C20" s="42" t="s">
        <v>126</v>
      </c>
      <c r="D20" s="42" t="s">
        <v>165</v>
      </c>
      <c r="E20" s="30" t="s">
        <v>178</v>
      </c>
      <c r="F20" s="7" t="s">
        <v>185</v>
      </c>
      <c r="G20" s="7" t="s">
        <v>183</v>
      </c>
      <c r="H20" s="32" t="s">
        <v>190</v>
      </c>
      <c r="I20" s="4">
        <v>5</v>
      </c>
      <c r="J20" s="23">
        <f t="shared" si="1"/>
        <v>6.1805555555555558E-2</v>
      </c>
      <c r="K20" s="29" t="str">
        <f t="shared" si="2"/>
        <v>Not Suspect</v>
      </c>
      <c r="L20" s="24">
        <f t="shared" si="3"/>
        <v>13</v>
      </c>
    </row>
    <row r="21" spans="1:12" x14ac:dyDescent="0.25">
      <c r="A21" s="7" t="s">
        <v>27</v>
      </c>
      <c r="B21" s="7" t="s">
        <v>77</v>
      </c>
      <c r="C21" s="42" t="s">
        <v>127</v>
      </c>
      <c r="D21" s="42" t="s">
        <v>159</v>
      </c>
      <c r="E21" s="30" t="s">
        <v>179</v>
      </c>
      <c r="F21" s="7" t="s">
        <v>184</v>
      </c>
      <c r="G21" s="7" t="s">
        <v>183</v>
      </c>
      <c r="H21" s="32" t="s">
        <v>190</v>
      </c>
      <c r="I21" s="4">
        <v>6</v>
      </c>
      <c r="J21" s="23">
        <f t="shared" si="1"/>
        <v>4.3750000000000011E-2</v>
      </c>
      <c r="K21" s="29" t="str">
        <f t="shared" si="2"/>
        <v>Not Suspect</v>
      </c>
      <c r="L21" s="24">
        <f t="shared" si="3"/>
        <v>13</v>
      </c>
    </row>
    <row r="22" spans="1:12" x14ac:dyDescent="0.25">
      <c r="A22" s="7" t="s">
        <v>28</v>
      </c>
      <c r="B22" s="7" t="s">
        <v>78</v>
      </c>
      <c r="C22" s="42" t="s">
        <v>128</v>
      </c>
      <c r="D22" s="42">
        <v>0.96319444444444446</v>
      </c>
      <c r="E22" s="30" t="s">
        <v>181</v>
      </c>
      <c r="F22" s="7" t="s">
        <v>184</v>
      </c>
      <c r="G22" s="33" t="s">
        <v>197</v>
      </c>
      <c r="H22" s="31" t="s">
        <v>189</v>
      </c>
      <c r="I22" s="4">
        <v>25</v>
      </c>
      <c r="J22" s="23">
        <f t="shared" si="1"/>
        <v>0.47500000000000003</v>
      </c>
      <c r="K22" s="29" t="str">
        <f t="shared" si="2"/>
        <v>Not Suspect</v>
      </c>
      <c r="L22" s="24">
        <f t="shared" si="3"/>
        <v>13</v>
      </c>
    </row>
    <row r="23" spans="1:12" x14ac:dyDescent="0.25">
      <c r="A23" s="7" t="s">
        <v>29</v>
      </c>
      <c r="B23" s="7" t="s">
        <v>79</v>
      </c>
      <c r="C23" s="42" t="s">
        <v>126</v>
      </c>
      <c r="D23" s="42" t="s">
        <v>166</v>
      </c>
      <c r="E23" s="30" t="s">
        <v>181</v>
      </c>
      <c r="F23" s="7" t="s">
        <v>185</v>
      </c>
      <c r="G23" s="7" t="s">
        <v>183</v>
      </c>
      <c r="H23" s="31" t="s">
        <v>189</v>
      </c>
      <c r="I23" s="34">
        <v>13</v>
      </c>
      <c r="J23" s="23">
        <f t="shared" si="1"/>
        <v>6.7361111111111094E-2</v>
      </c>
      <c r="K23" s="29" t="str">
        <f t="shared" si="2"/>
        <v>Not Suspect</v>
      </c>
      <c r="L23" s="24">
        <f t="shared" si="3"/>
        <v>13</v>
      </c>
    </row>
    <row r="24" spans="1:12" x14ac:dyDescent="0.25">
      <c r="A24" s="7" t="s">
        <v>30</v>
      </c>
      <c r="B24" s="7" t="s">
        <v>80</v>
      </c>
      <c r="C24" s="42" t="s">
        <v>129</v>
      </c>
      <c r="D24" s="42">
        <v>0.95763888888888893</v>
      </c>
      <c r="E24" s="30" t="s">
        <v>180</v>
      </c>
      <c r="F24" s="7" t="s">
        <v>185</v>
      </c>
      <c r="G24" s="7" t="s">
        <v>187</v>
      </c>
      <c r="H24" s="32" t="s">
        <v>190</v>
      </c>
      <c r="I24" s="4">
        <v>13</v>
      </c>
      <c r="J24" s="23">
        <f t="shared" si="1"/>
        <v>0.48888888888888893</v>
      </c>
      <c r="K24" s="29" t="str">
        <f t="shared" si="2"/>
        <v>Not Suspect</v>
      </c>
      <c r="L24" s="24">
        <f t="shared" si="3"/>
        <v>13</v>
      </c>
    </row>
    <row r="25" spans="1:12" x14ac:dyDescent="0.25">
      <c r="A25" s="7" t="s">
        <v>31</v>
      </c>
      <c r="B25" s="7" t="s">
        <v>81</v>
      </c>
      <c r="C25" s="42" t="s">
        <v>130</v>
      </c>
      <c r="D25" s="42" t="s">
        <v>167</v>
      </c>
      <c r="E25" s="30" t="s">
        <v>182</v>
      </c>
      <c r="F25" s="7" t="s">
        <v>183</v>
      </c>
      <c r="G25" s="7" t="s">
        <v>183</v>
      </c>
      <c r="H25" s="32" t="s">
        <v>190</v>
      </c>
      <c r="I25" s="4">
        <v>3</v>
      </c>
      <c r="J25" s="23">
        <f t="shared" si="1"/>
        <v>1.1111111111111072E-2</v>
      </c>
      <c r="K25" s="29" t="str">
        <f t="shared" si="2"/>
        <v>Not Suspect</v>
      </c>
      <c r="L25" s="24">
        <f t="shared" si="3"/>
        <v>14</v>
      </c>
    </row>
    <row r="26" spans="1:12" x14ac:dyDescent="0.25">
      <c r="A26" s="7" t="s">
        <v>32</v>
      </c>
      <c r="B26" s="7" t="s">
        <v>82</v>
      </c>
      <c r="C26" s="42" t="s">
        <v>131</v>
      </c>
      <c r="D26" s="42">
        <v>0.93611111111111112</v>
      </c>
      <c r="E26" s="30" t="s">
        <v>181</v>
      </c>
      <c r="F26" s="7" t="s">
        <v>186</v>
      </c>
      <c r="G26" s="7" t="s">
        <v>183</v>
      </c>
      <c r="H26" s="31" t="s">
        <v>189</v>
      </c>
      <c r="I26" s="34">
        <v>13</v>
      </c>
      <c r="J26" s="23">
        <f t="shared" si="1"/>
        <v>0.48888888888888887</v>
      </c>
      <c r="K26" s="29" t="str">
        <f t="shared" si="2"/>
        <v>Not Suspect</v>
      </c>
      <c r="L26" s="24">
        <f t="shared" si="3"/>
        <v>15</v>
      </c>
    </row>
    <row r="27" spans="1:12" x14ac:dyDescent="0.25">
      <c r="A27" s="7" t="s">
        <v>33</v>
      </c>
      <c r="B27" s="7" t="s">
        <v>83</v>
      </c>
      <c r="C27" s="42" t="s">
        <v>132</v>
      </c>
      <c r="D27" s="42" t="s">
        <v>168</v>
      </c>
      <c r="E27" s="30" t="s">
        <v>179</v>
      </c>
      <c r="F27" s="7" t="s">
        <v>184</v>
      </c>
      <c r="G27" s="7" t="s">
        <v>188</v>
      </c>
      <c r="H27" s="32" t="s">
        <v>190</v>
      </c>
      <c r="I27" s="4">
        <v>5</v>
      </c>
      <c r="J27" s="23">
        <f t="shared" si="1"/>
        <v>1.0416666666666685E-2</v>
      </c>
      <c r="K27" s="29" t="str">
        <f t="shared" si="2"/>
        <v>Not Suspect</v>
      </c>
      <c r="L27" s="24">
        <f t="shared" si="3"/>
        <v>15</v>
      </c>
    </row>
    <row r="28" spans="1:12" x14ac:dyDescent="0.25">
      <c r="A28" s="7" t="s">
        <v>34</v>
      </c>
      <c r="B28" s="7" t="s">
        <v>84</v>
      </c>
      <c r="C28" s="42" t="s">
        <v>133</v>
      </c>
      <c r="D28" s="42">
        <v>0.50694444444444442</v>
      </c>
      <c r="E28" s="30" t="s">
        <v>182</v>
      </c>
      <c r="F28" s="33" t="s">
        <v>197</v>
      </c>
      <c r="G28" s="7" t="s">
        <v>188</v>
      </c>
      <c r="H28" s="31" t="s">
        <v>189</v>
      </c>
      <c r="I28" s="4">
        <v>15</v>
      </c>
      <c r="J28" s="23">
        <f t="shared" si="1"/>
        <v>4.5833333333333282E-2</v>
      </c>
      <c r="K28" s="29" t="str">
        <f t="shared" si="2"/>
        <v>Not Suspect</v>
      </c>
      <c r="L28" s="24">
        <f t="shared" si="3"/>
        <v>15</v>
      </c>
    </row>
    <row r="29" spans="1:12" x14ac:dyDescent="0.25">
      <c r="A29" s="7" t="s">
        <v>35</v>
      </c>
      <c r="B29" s="7" t="s">
        <v>85</v>
      </c>
      <c r="C29" s="42" t="s">
        <v>134</v>
      </c>
      <c r="D29" s="42">
        <v>0.92083333333333328</v>
      </c>
      <c r="E29" s="30" t="s">
        <v>179</v>
      </c>
      <c r="F29" s="7" t="s">
        <v>186</v>
      </c>
      <c r="G29" s="7" t="s">
        <v>187</v>
      </c>
      <c r="H29" s="32" t="s">
        <v>190</v>
      </c>
      <c r="I29" s="4">
        <v>19</v>
      </c>
      <c r="J29" s="23">
        <f t="shared" si="1"/>
        <v>0.46111111111111108</v>
      </c>
      <c r="K29" s="29" t="str">
        <f t="shared" si="2"/>
        <v>Not Suspect</v>
      </c>
      <c r="L29" s="24">
        <f t="shared" si="3"/>
        <v>15.5</v>
      </c>
    </row>
    <row r="30" spans="1:12" x14ac:dyDescent="0.25">
      <c r="A30" s="7" t="s">
        <v>36</v>
      </c>
      <c r="B30" s="7" t="s">
        <v>86</v>
      </c>
      <c r="C30" s="42" t="s">
        <v>135</v>
      </c>
      <c r="D30" s="42" t="s">
        <v>169</v>
      </c>
      <c r="E30" s="30" t="s">
        <v>182</v>
      </c>
      <c r="F30" s="7" t="s">
        <v>184</v>
      </c>
      <c r="G30" s="7" t="s">
        <v>187</v>
      </c>
      <c r="H30" s="31" t="s">
        <v>189</v>
      </c>
      <c r="I30" s="4">
        <v>24</v>
      </c>
      <c r="J30" s="23">
        <f t="shared" si="1"/>
        <v>4.3750000000000011E-2</v>
      </c>
      <c r="K30" s="29" t="str">
        <f t="shared" si="2"/>
        <v>Not Suspect</v>
      </c>
      <c r="L30" s="24">
        <f t="shared" si="3"/>
        <v>15</v>
      </c>
    </row>
    <row r="31" spans="1:12" x14ac:dyDescent="0.25">
      <c r="A31" s="7" t="s">
        <v>37</v>
      </c>
      <c r="B31" s="7" t="s">
        <v>87</v>
      </c>
      <c r="C31" s="42" t="s">
        <v>136</v>
      </c>
      <c r="D31" s="42" t="s">
        <v>170</v>
      </c>
      <c r="E31" s="30" t="s">
        <v>182</v>
      </c>
      <c r="F31" s="7" t="s">
        <v>184</v>
      </c>
      <c r="G31" s="7" t="s">
        <v>187</v>
      </c>
      <c r="H31" s="32" t="s">
        <v>190</v>
      </c>
      <c r="I31" s="4">
        <v>16</v>
      </c>
      <c r="J31" s="23">
        <f t="shared" si="1"/>
        <v>9.5833333333333326E-2</v>
      </c>
      <c r="K31" s="29" t="str">
        <f t="shared" si="2"/>
        <v>Not Suspect</v>
      </c>
      <c r="L31" s="24">
        <f t="shared" si="3"/>
        <v>14</v>
      </c>
    </row>
    <row r="32" spans="1:12" x14ac:dyDescent="0.25">
      <c r="A32" s="7" t="s">
        <v>38</v>
      </c>
      <c r="B32" s="7" t="s">
        <v>88</v>
      </c>
      <c r="C32" s="42" t="s">
        <v>137</v>
      </c>
      <c r="D32" s="42" t="s">
        <v>171</v>
      </c>
      <c r="E32" s="30" t="s">
        <v>182</v>
      </c>
      <c r="F32" s="7" t="s">
        <v>184</v>
      </c>
      <c r="G32" s="7" t="s">
        <v>187</v>
      </c>
      <c r="H32" s="32" t="s">
        <v>190</v>
      </c>
      <c r="I32" s="4">
        <v>21</v>
      </c>
      <c r="J32" s="23">
        <f t="shared" si="1"/>
        <v>5.8333333333333348E-2</v>
      </c>
      <c r="K32" s="29" t="str">
        <f t="shared" si="2"/>
        <v>Not Suspect</v>
      </c>
      <c r="L32" s="24">
        <f t="shared" si="3"/>
        <v>13</v>
      </c>
    </row>
    <row r="33" spans="1:12" x14ac:dyDescent="0.25">
      <c r="A33" s="7" t="s">
        <v>39</v>
      </c>
      <c r="B33" s="7" t="s">
        <v>89</v>
      </c>
      <c r="C33" s="42" t="s">
        <v>138</v>
      </c>
      <c r="D33" s="42" t="s">
        <v>158</v>
      </c>
      <c r="E33" s="30" t="s">
        <v>180</v>
      </c>
      <c r="F33" s="33" t="s">
        <v>197</v>
      </c>
      <c r="G33" s="7" t="s">
        <v>188</v>
      </c>
      <c r="H33" s="31" t="s">
        <v>189</v>
      </c>
      <c r="I33" s="4">
        <v>16</v>
      </c>
      <c r="J33" s="23">
        <f t="shared" si="1"/>
        <v>1.4583333333333337E-2</v>
      </c>
      <c r="K33" s="29" t="str">
        <f t="shared" si="2"/>
        <v>Not Suspect</v>
      </c>
      <c r="L33" s="24">
        <f t="shared" si="3"/>
        <v>13</v>
      </c>
    </row>
    <row r="34" spans="1:12" x14ac:dyDescent="0.25">
      <c r="A34" s="7" t="s">
        <v>40</v>
      </c>
      <c r="B34" s="7" t="s">
        <v>90</v>
      </c>
      <c r="C34" s="42" t="s">
        <v>139</v>
      </c>
      <c r="D34" s="42" t="s">
        <v>172</v>
      </c>
      <c r="E34" s="30" t="s">
        <v>178</v>
      </c>
      <c r="F34" s="7" t="s">
        <v>185</v>
      </c>
      <c r="G34" s="7" t="s">
        <v>183</v>
      </c>
      <c r="H34" s="32" t="s">
        <v>190</v>
      </c>
      <c r="I34" s="4">
        <v>24</v>
      </c>
      <c r="J34" s="23">
        <f t="shared" si="1"/>
        <v>3.2638888888888939E-2</v>
      </c>
      <c r="K34" s="29" t="str">
        <f t="shared" si="2"/>
        <v>Not Suspect</v>
      </c>
      <c r="L34" s="24">
        <f t="shared" si="3"/>
        <v>13</v>
      </c>
    </row>
    <row r="35" spans="1:12" x14ac:dyDescent="0.25">
      <c r="A35" s="7" t="s">
        <v>41</v>
      </c>
      <c r="B35" s="7" t="s">
        <v>91</v>
      </c>
      <c r="C35" s="42" t="s">
        <v>140</v>
      </c>
      <c r="D35" s="42">
        <v>0.52847222222222223</v>
      </c>
      <c r="E35" s="30" t="s">
        <v>178</v>
      </c>
      <c r="F35" s="7" t="s">
        <v>185</v>
      </c>
      <c r="G35" s="7" t="s">
        <v>188</v>
      </c>
      <c r="H35" s="32" t="s">
        <v>190</v>
      </c>
      <c r="I35" s="34">
        <v>13</v>
      </c>
      <c r="J35" s="23">
        <f t="shared" si="1"/>
        <v>9.0972222222222232E-2</v>
      </c>
      <c r="K35" s="29" t="str">
        <f t="shared" si="2"/>
        <v>Not Suspect</v>
      </c>
      <c r="L35" s="24">
        <f t="shared" si="3"/>
        <v>13</v>
      </c>
    </row>
    <row r="36" spans="1:12" x14ac:dyDescent="0.25">
      <c r="A36" s="7" t="s">
        <v>42</v>
      </c>
      <c r="B36" s="7" t="s">
        <v>92</v>
      </c>
      <c r="C36" s="42" t="s">
        <v>141</v>
      </c>
      <c r="D36" s="42" t="s">
        <v>173</v>
      </c>
      <c r="E36" s="30" t="s">
        <v>181</v>
      </c>
      <c r="F36" s="7" t="s">
        <v>184</v>
      </c>
      <c r="G36" s="33" t="s">
        <v>197</v>
      </c>
      <c r="H36" s="31" t="s">
        <v>189</v>
      </c>
      <c r="I36" s="4">
        <v>17</v>
      </c>
      <c r="J36" s="23">
        <f t="shared" si="1"/>
        <v>2.0138888888888873E-2</v>
      </c>
      <c r="K36" s="29" t="str">
        <f t="shared" si="2"/>
        <v>Not Suspect</v>
      </c>
      <c r="L36" s="24">
        <f t="shared" ref="L36:L54" si="4">MEDIAN(I36:I89)</f>
        <v>13</v>
      </c>
    </row>
    <row r="37" spans="1:12" x14ac:dyDescent="0.25">
      <c r="A37" s="7" t="s">
        <v>43</v>
      </c>
      <c r="B37" s="7" t="s">
        <v>93</v>
      </c>
      <c r="C37" s="42" t="s">
        <v>142</v>
      </c>
      <c r="D37" s="42">
        <v>0.54027777777777775</v>
      </c>
      <c r="E37" s="30" t="s">
        <v>181</v>
      </c>
      <c r="F37" s="33" t="s">
        <v>197</v>
      </c>
      <c r="G37" s="7" t="s">
        <v>183</v>
      </c>
      <c r="H37" s="31" t="s">
        <v>189</v>
      </c>
      <c r="I37" s="4">
        <v>13</v>
      </c>
      <c r="J37" s="23">
        <f t="shared" si="1"/>
        <v>0.11874999999999997</v>
      </c>
      <c r="K37" s="29" t="str">
        <f t="shared" si="2"/>
        <v>Not Suspect</v>
      </c>
      <c r="L37" s="24">
        <f t="shared" si="4"/>
        <v>13</v>
      </c>
    </row>
    <row r="38" spans="1:12" x14ac:dyDescent="0.25">
      <c r="A38" s="7" t="s">
        <v>44</v>
      </c>
      <c r="B38" s="7" t="s">
        <v>94</v>
      </c>
      <c r="C38" s="42" t="s">
        <v>143</v>
      </c>
      <c r="D38" s="42">
        <v>0.53263888888888888</v>
      </c>
      <c r="E38" s="30" t="s">
        <v>181</v>
      </c>
      <c r="F38" s="7" t="s">
        <v>186</v>
      </c>
      <c r="G38" s="7" t="s">
        <v>187</v>
      </c>
      <c r="H38" s="32" t="s">
        <v>190</v>
      </c>
      <c r="I38" s="34">
        <v>13</v>
      </c>
      <c r="J38" s="23">
        <f t="shared" si="1"/>
        <v>0.14374999999999999</v>
      </c>
      <c r="K38" s="29" t="str">
        <f t="shared" si="2"/>
        <v>Not Suspect</v>
      </c>
      <c r="L38" s="24">
        <f t="shared" si="4"/>
        <v>13</v>
      </c>
    </row>
    <row r="39" spans="1:12" x14ac:dyDescent="0.25">
      <c r="A39" s="7" t="s">
        <v>45</v>
      </c>
      <c r="B39" s="7" t="s">
        <v>95</v>
      </c>
      <c r="C39" s="42" t="s">
        <v>144</v>
      </c>
      <c r="D39" s="42" t="s">
        <v>154</v>
      </c>
      <c r="E39" s="30" t="s">
        <v>178</v>
      </c>
      <c r="F39" s="33" t="s">
        <v>197</v>
      </c>
      <c r="G39" s="7" t="s">
        <v>183</v>
      </c>
      <c r="H39" s="31" t="s">
        <v>189</v>
      </c>
      <c r="I39" s="4">
        <v>20</v>
      </c>
      <c r="J39" s="23">
        <f t="shared" si="1"/>
        <v>2.9861111111111116E-2</v>
      </c>
      <c r="K39" s="29" t="str">
        <f t="shared" si="2"/>
        <v>Not Suspect</v>
      </c>
      <c r="L39" s="24">
        <f t="shared" si="4"/>
        <v>13</v>
      </c>
    </row>
    <row r="40" spans="1:12" x14ac:dyDescent="0.25">
      <c r="A40" s="7" t="s">
        <v>46</v>
      </c>
      <c r="B40" s="7" t="s">
        <v>96</v>
      </c>
      <c r="C40" s="42" t="s">
        <v>145</v>
      </c>
      <c r="D40" s="42">
        <v>0.95138888888888884</v>
      </c>
      <c r="E40" s="30" t="s">
        <v>181</v>
      </c>
      <c r="F40" s="7" t="s">
        <v>183</v>
      </c>
      <c r="G40" s="7" t="s">
        <v>187</v>
      </c>
      <c r="H40" s="32" t="s">
        <v>190</v>
      </c>
      <c r="I40" s="4">
        <v>10</v>
      </c>
      <c r="J40" s="23">
        <f t="shared" si="1"/>
        <v>0.47777777777777775</v>
      </c>
      <c r="K40" s="29" t="str">
        <f t="shared" si="2"/>
        <v>Not Suspect</v>
      </c>
      <c r="L40" s="24">
        <f t="shared" si="4"/>
        <v>13</v>
      </c>
    </row>
    <row r="41" spans="1:12" x14ac:dyDescent="0.25">
      <c r="A41" s="7" t="s">
        <v>47</v>
      </c>
      <c r="B41" s="7" t="s">
        <v>97</v>
      </c>
      <c r="C41" s="42" t="s">
        <v>146</v>
      </c>
      <c r="D41" s="42">
        <v>0.52569444444444446</v>
      </c>
      <c r="E41" s="30" t="s">
        <v>178</v>
      </c>
      <c r="F41" s="7" t="s">
        <v>186</v>
      </c>
      <c r="G41" s="7" t="s">
        <v>188</v>
      </c>
      <c r="H41" s="31" t="s">
        <v>189</v>
      </c>
      <c r="I41" s="4">
        <v>15</v>
      </c>
      <c r="J41" s="23">
        <f t="shared" si="1"/>
        <v>3.5416666666666707E-2</v>
      </c>
      <c r="K41" s="29" t="str">
        <f t="shared" si="2"/>
        <v>Not Suspect</v>
      </c>
      <c r="L41" s="24">
        <f t="shared" si="4"/>
        <v>13</v>
      </c>
    </row>
    <row r="42" spans="1:12" x14ac:dyDescent="0.25">
      <c r="A42" s="7" t="s">
        <v>48</v>
      </c>
      <c r="B42" s="7" t="s">
        <v>98</v>
      </c>
      <c r="C42" s="42" t="s">
        <v>147</v>
      </c>
      <c r="D42" s="42">
        <v>0.50694444444444442</v>
      </c>
      <c r="E42" s="30" t="s">
        <v>180</v>
      </c>
      <c r="F42" s="7" t="s">
        <v>183</v>
      </c>
      <c r="G42" s="7" t="s">
        <v>187</v>
      </c>
      <c r="H42" s="31" t="s">
        <v>189</v>
      </c>
      <c r="I42" s="4">
        <v>2</v>
      </c>
      <c r="J42" s="23">
        <f t="shared" si="1"/>
        <v>8.3333333333333315E-2</v>
      </c>
      <c r="K42" s="29" t="str">
        <f t="shared" si="2"/>
        <v>Not Suspect</v>
      </c>
      <c r="L42" s="24">
        <f t="shared" si="4"/>
        <v>13</v>
      </c>
    </row>
    <row r="43" spans="1:12" x14ac:dyDescent="0.25">
      <c r="A43" s="7" t="s">
        <v>49</v>
      </c>
      <c r="B43" s="7" t="s">
        <v>99</v>
      </c>
      <c r="C43" s="42" t="s">
        <v>148</v>
      </c>
      <c r="D43" s="42" t="s">
        <v>160</v>
      </c>
      <c r="E43" s="30" t="s">
        <v>178</v>
      </c>
      <c r="F43" s="7" t="s">
        <v>185</v>
      </c>
      <c r="G43" s="7" t="s">
        <v>183</v>
      </c>
      <c r="H43" s="32" t="s">
        <v>190</v>
      </c>
      <c r="I43" s="34">
        <v>13</v>
      </c>
      <c r="J43" s="23">
        <f t="shared" si="1"/>
        <v>4.3055555555555569E-2</v>
      </c>
      <c r="K43" s="29" t="str">
        <f t="shared" si="2"/>
        <v>Not Suspect</v>
      </c>
      <c r="L43" s="24">
        <f t="shared" si="4"/>
        <v>13</v>
      </c>
    </row>
    <row r="44" spans="1:12" x14ac:dyDescent="0.25">
      <c r="A44" s="7" t="s">
        <v>50</v>
      </c>
      <c r="B44" s="7" t="s">
        <v>100</v>
      </c>
      <c r="C44" s="42" t="s">
        <v>149</v>
      </c>
      <c r="D44" s="42">
        <v>0.46458333333333335</v>
      </c>
      <c r="E44" s="30" t="s">
        <v>182</v>
      </c>
      <c r="F44" s="7" t="s">
        <v>185</v>
      </c>
      <c r="G44" s="7" t="s">
        <v>183</v>
      </c>
      <c r="H44" s="32" t="s">
        <v>190</v>
      </c>
      <c r="I44" s="4">
        <v>25</v>
      </c>
      <c r="J44" s="23">
        <f t="shared" si="1"/>
        <v>-3.0555555555555558E-2</v>
      </c>
      <c r="K44" s="29" t="str">
        <f t="shared" si="2"/>
        <v>Not Suspect</v>
      </c>
      <c r="L44" s="24">
        <f t="shared" si="4"/>
        <v>13</v>
      </c>
    </row>
    <row r="45" spans="1:12" x14ac:dyDescent="0.25">
      <c r="A45" s="7" t="s">
        <v>51</v>
      </c>
      <c r="B45" s="7" t="s">
        <v>101</v>
      </c>
      <c r="C45" s="42" t="s">
        <v>150</v>
      </c>
      <c r="D45" s="42" t="s">
        <v>161</v>
      </c>
      <c r="E45" s="30" t="s">
        <v>181</v>
      </c>
      <c r="F45" s="7" t="s">
        <v>184</v>
      </c>
      <c r="G45" s="7" t="s">
        <v>187</v>
      </c>
      <c r="H45" s="32" t="s">
        <v>190</v>
      </c>
      <c r="I45" s="4">
        <v>25</v>
      </c>
      <c r="J45" s="23">
        <f t="shared" si="1"/>
        <v>7.4305555555555514E-2</v>
      </c>
      <c r="K45" s="29" t="str">
        <f t="shared" si="2"/>
        <v>Not Suspect</v>
      </c>
      <c r="L45" s="24">
        <f t="shared" si="4"/>
        <v>13</v>
      </c>
    </row>
    <row r="46" spans="1:12" x14ac:dyDescent="0.25">
      <c r="A46" s="7" t="s">
        <v>52</v>
      </c>
      <c r="B46" s="7" t="s">
        <v>102</v>
      </c>
      <c r="C46" s="42" t="s">
        <v>151</v>
      </c>
      <c r="D46" s="42">
        <v>0.99375000000000002</v>
      </c>
      <c r="E46" s="30" t="s">
        <v>179</v>
      </c>
      <c r="F46" s="7" t="s">
        <v>185</v>
      </c>
      <c r="G46" s="7" t="s">
        <v>183</v>
      </c>
      <c r="H46" s="31" t="s">
        <v>189</v>
      </c>
      <c r="I46" s="4">
        <v>23</v>
      </c>
      <c r="J46" s="23">
        <f t="shared" si="1"/>
        <v>0.49652777777777779</v>
      </c>
      <c r="K46" s="29" t="str">
        <f t="shared" si="2"/>
        <v>Not Suspect</v>
      </c>
      <c r="L46" s="24">
        <f t="shared" si="4"/>
        <v>13</v>
      </c>
    </row>
    <row r="47" spans="1:12" x14ac:dyDescent="0.25">
      <c r="A47" s="7" t="s">
        <v>32</v>
      </c>
      <c r="B47" s="7" t="s">
        <v>82</v>
      </c>
      <c r="C47" s="42" t="s">
        <v>131</v>
      </c>
      <c r="D47" s="42">
        <v>0.93611111111111112</v>
      </c>
      <c r="E47" s="30" t="s">
        <v>181</v>
      </c>
      <c r="F47" s="7" t="s">
        <v>186</v>
      </c>
      <c r="G47" s="7" t="s">
        <v>183</v>
      </c>
      <c r="H47" s="31" t="s">
        <v>189</v>
      </c>
      <c r="I47" s="34">
        <v>13</v>
      </c>
      <c r="J47" s="23">
        <f t="shared" si="1"/>
        <v>0.48888888888888887</v>
      </c>
      <c r="K47" s="29" t="str">
        <f t="shared" si="2"/>
        <v>Not Suspect</v>
      </c>
      <c r="L47" s="24">
        <f t="shared" si="4"/>
        <v>13</v>
      </c>
    </row>
    <row r="48" spans="1:12" x14ac:dyDescent="0.25">
      <c r="A48" s="7" t="s">
        <v>53</v>
      </c>
      <c r="B48" s="7" t="s">
        <v>103</v>
      </c>
      <c r="C48" s="42" t="s">
        <v>152</v>
      </c>
      <c r="D48" s="42" t="s">
        <v>174</v>
      </c>
      <c r="E48" s="30" t="s">
        <v>181</v>
      </c>
      <c r="F48" s="7" t="s">
        <v>185</v>
      </c>
      <c r="G48" s="33" t="s">
        <v>197</v>
      </c>
      <c r="H48" s="31" t="s">
        <v>189</v>
      </c>
      <c r="I48" s="4">
        <v>19</v>
      </c>
      <c r="J48" s="23">
        <f t="shared" si="1"/>
        <v>1.3194444444444453E-2</v>
      </c>
      <c r="K48" s="29" t="str">
        <f t="shared" si="2"/>
        <v>Not Suspect</v>
      </c>
      <c r="L48" s="24">
        <f t="shared" si="4"/>
        <v>13</v>
      </c>
    </row>
    <row r="49" spans="1:12" x14ac:dyDescent="0.25">
      <c r="A49" s="7" t="s">
        <v>54</v>
      </c>
      <c r="B49" s="7" t="s">
        <v>104</v>
      </c>
      <c r="C49" s="42" t="s">
        <v>153</v>
      </c>
      <c r="D49" s="42">
        <v>0.93541666666666667</v>
      </c>
      <c r="E49" s="30" t="s">
        <v>182</v>
      </c>
      <c r="F49" s="7" t="s">
        <v>185</v>
      </c>
      <c r="G49" s="7" t="s">
        <v>188</v>
      </c>
      <c r="H49" s="32" t="s">
        <v>190</v>
      </c>
      <c r="I49" s="4">
        <v>9</v>
      </c>
      <c r="J49" s="23">
        <f t="shared" si="1"/>
        <v>0.49305555555555558</v>
      </c>
      <c r="K49" s="29" t="str">
        <f t="shared" si="2"/>
        <v>Not Suspect</v>
      </c>
      <c r="L49" s="24">
        <f t="shared" si="4"/>
        <v>12.5</v>
      </c>
    </row>
    <row r="50" spans="1:12" x14ac:dyDescent="0.25">
      <c r="A50" s="7" t="s">
        <v>55</v>
      </c>
      <c r="B50" s="7" t="s">
        <v>105</v>
      </c>
      <c r="C50" s="42" t="s">
        <v>152</v>
      </c>
      <c r="D50" s="42">
        <v>0.9375</v>
      </c>
      <c r="E50" s="30" t="s">
        <v>182</v>
      </c>
      <c r="F50" s="7" t="s">
        <v>185</v>
      </c>
      <c r="G50" s="33" t="s">
        <v>197</v>
      </c>
      <c r="H50" s="32" t="s">
        <v>190</v>
      </c>
      <c r="I50" s="34">
        <v>13</v>
      </c>
      <c r="J50" s="23">
        <f t="shared" si="1"/>
        <v>0.49861111111111112</v>
      </c>
      <c r="K50" s="29" t="str">
        <f t="shared" si="2"/>
        <v>Not Suspect</v>
      </c>
      <c r="L50" s="24">
        <f t="shared" si="4"/>
        <v>13</v>
      </c>
    </row>
    <row r="51" spans="1:12" x14ac:dyDescent="0.25">
      <c r="A51" s="7" t="s">
        <v>56</v>
      </c>
      <c r="B51" s="7" t="s">
        <v>106</v>
      </c>
      <c r="C51" s="42" t="s">
        <v>154</v>
      </c>
      <c r="D51" s="42" t="s">
        <v>175</v>
      </c>
      <c r="E51" s="30" t="s">
        <v>180</v>
      </c>
      <c r="F51" s="7" t="s">
        <v>184</v>
      </c>
      <c r="G51" s="7" t="s">
        <v>183</v>
      </c>
      <c r="H51" s="31" t="s">
        <v>189</v>
      </c>
      <c r="I51" s="4">
        <v>12</v>
      </c>
      <c r="J51" s="23">
        <f t="shared" si="1"/>
        <v>3.6805555555555536E-2</v>
      </c>
      <c r="K51" s="29" t="str">
        <f t="shared" si="2"/>
        <v>Not Suspect</v>
      </c>
      <c r="L51" s="24">
        <f t="shared" si="4"/>
        <v>12.5</v>
      </c>
    </row>
    <row r="52" spans="1:12" x14ac:dyDescent="0.25">
      <c r="A52" s="7" t="s">
        <v>57</v>
      </c>
      <c r="B52" s="7" t="s">
        <v>107</v>
      </c>
      <c r="C52" s="42" t="s">
        <v>147</v>
      </c>
      <c r="D52" s="42" t="s">
        <v>176</v>
      </c>
      <c r="E52" s="30" t="s">
        <v>181</v>
      </c>
      <c r="F52" s="7" t="s">
        <v>185</v>
      </c>
      <c r="G52" s="7" t="s">
        <v>183</v>
      </c>
      <c r="H52" s="32" t="s">
        <v>190</v>
      </c>
      <c r="I52" s="34">
        <v>13</v>
      </c>
      <c r="J52" s="23">
        <f t="shared" si="1"/>
        <v>4.1666666666666519E-3</v>
      </c>
      <c r="K52" s="29" t="str">
        <f t="shared" si="2"/>
        <v>Not Suspect</v>
      </c>
      <c r="L52" s="24">
        <f t="shared" si="4"/>
        <v>13</v>
      </c>
    </row>
    <row r="53" spans="1:12" x14ac:dyDescent="0.25">
      <c r="A53" s="7" t="s">
        <v>40</v>
      </c>
      <c r="B53" s="7" t="s">
        <v>90</v>
      </c>
      <c r="C53" s="42" t="s">
        <v>155</v>
      </c>
      <c r="D53" s="42" t="s">
        <v>172</v>
      </c>
      <c r="E53" s="30" t="s">
        <v>178</v>
      </c>
      <c r="F53" s="7" t="s">
        <v>185</v>
      </c>
      <c r="G53" s="7" t="s">
        <v>183</v>
      </c>
      <c r="H53" s="32" t="s">
        <v>190</v>
      </c>
      <c r="I53" s="4">
        <v>24</v>
      </c>
      <c r="J53" s="23">
        <f t="shared" si="1"/>
        <v>3.2638888888888939E-2</v>
      </c>
      <c r="K53" s="29" t="str">
        <f t="shared" si="2"/>
        <v>Not Suspect</v>
      </c>
      <c r="L53" s="24">
        <f t="shared" si="4"/>
        <v>15.5</v>
      </c>
    </row>
    <row r="54" spans="1:12" x14ac:dyDescent="0.25">
      <c r="A54" s="7" t="s">
        <v>58</v>
      </c>
      <c r="B54" s="7" t="s">
        <v>108</v>
      </c>
      <c r="C54" s="42" t="s">
        <v>156</v>
      </c>
      <c r="D54" s="42" t="s">
        <v>177</v>
      </c>
      <c r="E54" s="30" t="s">
        <v>180</v>
      </c>
      <c r="F54" s="7" t="s">
        <v>186</v>
      </c>
      <c r="G54" s="7" t="s">
        <v>188</v>
      </c>
      <c r="H54" s="32" t="s">
        <v>190</v>
      </c>
      <c r="I54" s="4">
        <v>7</v>
      </c>
      <c r="J54" s="23">
        <f t="shared" si="1"/>
        <v>6.9444444444444198E-3</v>
      </c>
      <c r="K54" s="29" t="str">
        <f t="shared" si="2"/>
        <v>Not Suspect</v>
      </c>
      <c r="L54" s="24">
        <f t="shared" si="4"/>
        <v>7</v>
      </c>
    </row>
    <row r="55" spans="1:12" x14ac:dyDescent="0.25">
      <c r="A55"/>
      <c r="B55"/>
      <c r="C55" s="43"/>
      <c r="D55" s="43"/>
      <c r="E55"/>
      <c r="H55"/>
      <c r="J55"/>
    </row>
    <row r="56" spans="1:12" x14ac:dyDescent="0.25">
      <c r="A56"/>
      <c r="B56"/>
      <c r="C56" s="43"/>
      <c r="D56" s="43"/>
      <c r="E56"/>
      <c r="H56"/>
      <c r="J56"/>
    </row>
    <row r="57" spans="1:12" x14ac:dyDescent="0.25">
      <c r="A57" s="36" t="s">
        <v>200</v>
      </c>
      <c r="B57" s="37"/>
      <c r="C57" s="38" t="s">
        <v>201</v>
      </c>
      <c r="D57" s="39"/>
      <c r="E57" s="39"/>
      <c r="F57" s="39"/>
      <c r="G57" s="39"/>
      <c r="H57" s="39"/>
      <c r="I57" s="39"/>
    </row>
    <row r="58" spans="1:12" x14ac:dyDescent="0.25">
      <c r="A58" s="18" t="s">
        <v>192</v>
      </c>
      <c r="B58" s="18" t="s">
        <v>193</v>
      </c>
    </row>
    <row r="59" spans="1:12" x14ac:dyDescent="0.25">
      <c r="A59" s="19" t="s">
        <v>36</v>
      </c>
      <c r="B59" s="18">
        <v>24</v>
      </c>
    </row>
    <row r="60" spans="1:12" x14ac:dyDescent="0.25">
      <c r="A60" s="19" t="s">
        <v>43</v>
      </c>
      <c r="B60" s="18">
        <v>13</v>
      </c>
    </row>
    <row r="61" spans="1:12" x14ac:dyDescent="0.25">
      <c r="A61" s="19" t="s">
        <v>45</v>
      </c>
      <c r="B61" s="18">
        <v>20</v>
      </c>
    </row>
    <row r="62" spans="1:12" x14ac:dyDescent="0.25">
      <c r="A62" s="19" t="s">
        <v>17</v>
      </c>
      <c r="B62" s="18">
        <v>21</v>
      </c>
    </row>
    <row r="63" spans="1:12" x14ac:dyDescent="0.25">
      <c r="A63" s="19" t="s">
        <v>23</v>
      </c>
      <c r="B63" s="18">
        <v>10</v>
      </c>
    </row>
    <row r="64" spans="1:12" x14ac:dyDescent="0.25">
      <c r="A64" s="19" t="s">
        <v>14</v>
      </c>
      <c r="B64" s="18">
        <v>13</v>
      </c>
    </row>
    <row r="65" spans="1:9" x14ac:dyDescent="0.25">
      <c r="A65" s="19" t="s">
        <v>21</v>
      </c>
      <c r="B65" s="18">
        <v>24</v>
      </c>
    </row>
    <row r="66" spans="1:9" x14ac:dyDescent="0.25">
      <c r="A66" s="19" t="s">
        <v>54</v>
      </c>
      <c r="B66" s="18">
        <v>9</v>
      </c>
    </row>
    <row r="67" spans="1:9" x14ac:dyDescent="0.25">
      <c r="A67" s="19" t="s">
        <v>19</v>
      </c>
      <c r="B67" s="18">
        <v>1</v>
      </c>
    </row>
    <row r="68" spans="1:9" x14ac:dyDescent="0.25">
      <c r="A68" s="19" t="s">
        <v>30</v>
      </c>
      <c r="B68" s="18">
        <v>13</v>
      </c>
    </row>
    <row r="69" spans="1:9" x14ac:dyDescent="0.25">
      <c r="A69" s="19" t="s">
        <v>50</v>
      </c>
      <c r="B69" s="18">
        <v>25</v>
      </c>
    </row>
    <row r="70" spans="1:9" x14ac:dyDescent="0.25">
      <c r="A70" s="19" t="s">
        <v>35</v>
      </c>
      <c r="B70" s="18">
        <v>19</v>
      </c>
    </row>
    <row r="71" spans="1:9" x14ac:dyDescent="0.25">
      <c r="A71" s="19" t="s">
        <v>12</v>
      </c>
      <c r="B71" s="18">
        <v>7</v>
      </c>
    </row>
    <row r="72" spans="1:9" x14ac:dyDescent="0.25">
      <c r="A72" s="19" t="s">
        <v>16</v>
      </c>
      <c r="B72" s="18">
        <v>4</v>
      </c>
    </row>
    <row r="73" spans="1:9" x14ac:dyDescent="0.25">
      <c r="A73" s="19" t="s">
        <v>56</v>
      </c>
      <c r="B73" s="18">
        <v>12</v>
      </c>
    </row>
    <row r="74" spans="1:9" x14ac:dyDescent="0.25">
      <c r="A74" s="19" t="s">
        <v>29</v>
      </c>
      <c r="B74" s="18">
        <v>13</v>
      </c>
    </row>
    <row r="75" spans="1:9" x14ac:dyDescent="0.25">
      <c r="A75" s="19" t="s">
        <v>31</v>
      </c>
      <c r="B75" s="18">
        <v>3</v>
      </c>
    </row>
    <row r="76" spans="1:9" x14ac:dyDescent="0.25">
      <c r="A76" s="19" t="s">
        <v>15</v>
      </c>
      <c r="B76" s="18">
        <v>2</v>
      </c>
    </row>
    <row r="77" spans="1:9" x14ac:dyDescent="0.25">
      <c r="A77" s="19" t="s">
        <v>52</v>
      </c>
      <c r="B77" s="18">
        <v>23</v>
      </c>
    </row>
    <row r="78" spans="1:9" x14ac:dyDescent="0.25">
      <c r="A78" s="19" t="s">
        <v>9</v>
      </c>
      <c r="B78" s="18">
        <v>4</v>
      </c>
    </row>
    <row r="79" spans="1:9" x14ac:dyDescent="0.25">
      <c r="A79" s="19" t="s">
        <v>53</v>
      </c>
      <c r="B79" s="18">
        <v>19</v>
      </c>
      <c r="C79" s="40" t="s">
        <v>202</v>
      </c>
      <c r="D79" s="39"/>
      <c r="E79" s="39"/>
      <c r="F79" s="39"/>
      <c r="G79" s="39"/>
      <c r="H79" s="39"/>
      <c r="I79" s="39"/>
    </row>
    <row r="80" spans="1:9" x14ac:dyDescent="0.25">
      <c r="A80" s="19" t="s">
        <v>44</v>
      </c>
      <c r="B80" s="18">
        <v>13</v>
      </c>
    </row>
    <row r="81" spans="1:2" x14ac:dyDescent="0.25">
      <c r="A81" s="19" t="s">
        <v>51</v>
      </c>
      <c r="B81" s="18">
        <v>25</v>
      </c>
    </row>
    <row r="82" spans="1:2" x14ac:dyDescent="0.25">
      <c r="A82" s="19" t="s">
        <v>48</v>
      </c>
      <c r="B82" s="18">
        <v>2</v>
      </c>
    </row>
    <row r="83" spans="1:2" x14ac:dyDescent="0.25">
      <c r="A83" s="19" t="s">
        <v>25</v>
      </c>
      <c r="B83" s="18">
        <v>13</v>
      </c>
    </row>
    <row r="84" spans="1:2" x14ac:dyDescent="0.25">
      <c r="A84" s="19" t="s">
        <v>34</v>
      </c>
      <c r="B84" s="18">
        <v>15</v>
      </c>
    </row>
    <row r="85" spans="1:2" x14ac:dyDescent="0.25">
      <c r="A85" s="19" t="s">
        <v>20</v>
      </c>
      <c r="B85" s="18">
        <v>16</v>
      </c>
    </row>
    <row r="86" spans="1:2" x14ac:dyDescent="0.25">
      <c r="A86" s="19" t="s">
        <v>38</v>
      </c>
      <c r="B86" s="18">
        <v>21</v>
      </c>
    </row>
    <row r="87" spans="1:2" x14ac:dyDescent="0.25">
      <c r="A87" s="19" t="s">
        <v>57</v>
      </c>
      <c r="B87" s="18">
        <v>13</v>
      </c>
    </row>
    <row r="88" spans="1:2" x14ac:dyDescent="0.25">
      <c r="A88" s="19" t="s">
        <v>41</v>
      </c>
      <c r="B88" s="18">
        <v>13</v>
      </c>
    </row>
    <row r="89" spans="1:2" x14ac:dyDescent="0.25">
      <c r="A89" s="19" t="s">
        <v>32</v>
      </c>
      <c r="B89" s="18">
        <v>26</v>
      </c>
    </row>
    <row r="90" spans="1:2" x14ac:dyDescent="0.25">
      <c r="A90" s="19" t="s">
        <v>39</v>
      </c>
      <c r="B90" s="18">
        <v>16</v>
      </c>
    </row>
    <row r="91" spans="1:2" x14ac:dyDescent="0.25">
      <c r="A91" s="19" t="s">
        <v>18</v>
      </c>
      <c r="B91" s="18">
        <v>0</v>
      </c>
    </row>
    <row r="92" spans="1:2" x14ac:dyDescent="0.25">
      <c r="A92" s="19" t="s">
        <v>27</v>
      </c>
      <c r="B92" s="18">
        <v>6</v>
      </c>
    </row>
    <row r="93" spans="1:2" x14ac:dyDescent="0.25">
      <c r="A93" s="19" t="s">
        <v>22</v>
      </c>
      <c r="B93" s="18">
        <v>4</v>
      </c>
    </row>
    <row r="94" spans="1:2" x14ac:dyDescent="0.25">
      <c r="A94" s="19" t="s">
        <v>47</v>
      </c>
      <c r="B94" s="18">
        <v>15</v>
      </c>
    </row>
    <row r="95" spans="1:2" x14ac:dyDescent="0.25">
      <c r="A95" s="19" t="s">
        <v>33</v>
      </c>
      <c r="B95" s="18">
        <v>5</v>
      </c>
    </row>
    <row r="96" spans="1:2" x14ac:dyDescent="0.25">
      <c r="A96" s="19" t="s">
        <v>24</v>
      </c>
      <c r="B96" s="18">
        <v>10</v>
      </c>
    </row>
    <row r="97" spans="1:9" x14ac:dyDescent="0.25">
      <c r="A97" s="19" t="s">
        <v>58</v>
      </c>
      <c r="B97" s="18">
        <v>7</v>
      </c>
    </row>
    <row r="98" spans="1:9" x14ac:dyDescent="0.25">
      <c r="A98" s="19" t="s">
        <v>40</v>
      </c>
      <c r="B98" s="18">
        <v>48</v>
      </c>
    </row>
    <row r="99" spans="1:9" x14ac:dyDescent="0.25">
      <c r="A99" s="19" t="s">
        <v>46</v>
      </c>
      <c r="B99" s="18">
        <v>10</v>
      </c>
    </row>
    <row r="100" spans="1:9" x14ac:dyDescent="0.25">
      <c r="A100" s="19" t="s">
        <v>10</v>
      </c>
      <c r="B100" s="18">
        <v>13</v>
      </c>
    </row>
    <row r="101" spans="1:9" x14ac:dyDescent="0.25">
      <c r="A101" s="19" t="s">
        <v>55</v>
      </c>
      <c r="B101" s="18">
        <v>13</v>
      </c>
    </row>
    <row r="102" spans="1:9" x14ac:dyDescent="0.25">
      <c r="A102" s="19" t="s">
        <v>13</v>
      </c>
      <c r="B102" s="18">
        <v>2</v>
      </c>
    </row>
    <row r="103" spans="1:9" x14ac:dyDescent="0.25">
      <c r="A103" s="19" t="s">
        <v>26</v>
      </c>
      <c r="B103" s="18">
        <v>5</v>
      </c>
    </row>
    <row r="104" spans="1:9" x14ac:dyDescent="0.25">
      <c r="A104" s="19" t="s">
        <v>42</v>
      </c>
      <c r="B104" s="18">
        <v>17</v>
      </c>
    </row>
    <row r="105" spans="1:9" x14ac:dyDescent="0.25">
      <c r="A105" s="19" t="s">
        <v>37</v>
      </c>
      <c r="B105" s="18">
        <v>16</v>
      </c>
    </row>
    <row r="106" spans="1:9" x14ac:dyDescent="0.25">
      <c r="A106" s="19" t="s">
        <v>11</v>
      </c>
      <c r="B106" s="18">
        <v>20</v>
      </c>
    </row>
    <row r="107" spans="1:9" x14ac:dyDescent="0.25">
      <c r="A107" s="19" t="s">
        <v>49</v>
      </c>
      <c r="B107" s="18">
        <v>13</v>
      </c>
    </row>
    <row r="108" spans="1:9" x14ac:dyDescent="0.25">
      <c r="A108" s="19" t="s">
        <v>28</v>
      </c>
      <c r="B108" s="18">
        <v>25</v>
      </c>
    </row>
    <row r="109" spans="1:9" x14ac:dyDescent="0.25">
      <c r="A109" s="19" t="s">
        <v>194</v>
      </c>
      <c r="B109" s="18">
        <v>681</v>
      </c>
      <c r="E109" s="21"/>
      <c r="F109" s="3"/>
      <c r="G109" s="3"/>
      <c r="H109" s="21"/>
      <c r="I109" s="3"/>
    </row>
    <row r="110" spans="1:9" x14ac:dyDescent="0.25">
      <c r="A110"/>
      <c r="B110"/>
      <c r="E110" s="21"/>
      <c r="F110" s="3"/>
      <c r="G110" s="3"/>
      <c r="H110" s="21"/>
      <c r="I110" s="3"/>
    </row>
    <row r="111" spans="1:9" x14ac:dyDescent="0.25">
      <c r="A111"/>
      <c r="B111"/>
      <c r="E111" s="21"/>
      <c r="F111" s="3"/>
      <c r="G111" s="3"/>
      <c r="H111" s="21"/>
      <c r="I111" s="3"/>
    </row>
    <row r="112" spans="1:9" x14ac:dyDescent="0.25">
      <c r="A112"/>
      <c r="B112"/>
      <c r="E112" s="21"/>
      <c r="F112" s="3"/>
      <c r="G112" s="3"/>
      <c r="H112" s="21"/>
      <c r="I112" s="3"/>
    </row>
    <row r="113" spans="1:9" x14ac:dyDescent="0.25">
      <c r="A113"/>
      <c r="B113"/>
      <c r="E113" s="21"/>
      <c r="F113" s="3"/>
      <c r="G113" s="3"/>
      <c r="H113" s="21"/>
      <c r="I113" s="3"/>
    </row>
    <row r="114" spans="1:9" x14ac:dyDescent="0.25">
      <c r="A114"/>
      <c r="B114"/>
      <c r="E114" s="21"/>
      <c r="F114" s="3"/>
      <c r="G114" s="3"/>
      <c r="H114" s="21"/>
      <c r="I114" s="3"/>
    </row>
    <row r="115" spans="1:9" x14ac:dyDescent="0.25">
      <c r="A115"/>
      <c r="B115"/>
      <c r="E115" s="21"/>
      <c r="F115" s="3"/>
      <c r="G115" s="3"/>
      <c r="H115" s="21"/>
      <c r="I115" s="3"/>
    </row>
    <row r="116" spans="1:9" x14ac:dyDescent="0.25">
      <c r="A116"/>
      <c r="B116"/>
      <c r="E116" s="21"/>
      <c r="F116" s="3"/>
      <c r="G116" s="3"/>
      <c r="H116" s="21"/>
      <c r="I116" s="3"/>
    </row>
    <row r="117" spans="1:9" x14ac:dyDescent="0.25">
      <c r="A117"/>
      <c r="B117"/>
      <c r="E117" s="21"/>
      <c r="F117" s="3"/>
      <c r="G117" s="3"/>
      <c r="H117" s="21"/>
      <c r="I117" s="3"/>
    </row>
    <row r="118" spans="1:9" x14ac:dyDescent="0.25">
      <c r="A118"/>
      <c r="B118"/>
      <c r="E118" s="21"/>
      <c r="F118" s="3"/>
      <c r="G118" s="3"/>
      <c r="H118" s="21"/>
      <c r="I118" s="3"/>
    </row>
    <row r="119" spans="1:9" x14ac:dyDescent="0.25">
      <c r="A119"/>
      <c r="B119"/>
      <c r="E119" s="21"/>
      <c r="F119" s="3"/>
      <c r="G119" s="3"/>
      <c r="H119" s="21"/>
      <c r="I119" s="3"/>
    </row>
    <row r="120" spans="1:9" x14ac:dyDescent="0.25">
      <c r="A120"/>
      <c r="B120"/>
      <c r="E120" s="21"/>
      <c r="F120" s="3"/>
      <c r="G120" s="3"/>
      <c r="H120" s="21"/>
      <c r="I120" s="3"/>
    </row>
    <row r="121" spans="1:9" x14ac:dyDescent="0.25">
      <c r="A121"/>
      <c r="B121"/>
      <c r="E121" s="21"/>
      <c r="F121" s="3"/>
      <c r="G121" s="3"/>
      <c r="H121" s="21"/>
      <c r="I121" s="3"/>
    </row>
    <row r="122" spans="1:9" x14ac:dyDescent="0.25">
      <c r="A122"/>
      <c r="B122"/>
    </row>
    <row r="123" spans="1:9" x14ac:dyDescent="0.25">
      <c r="A123"/>
      <c r="B123"/>
    </row>
    <row r="124" spans="1:9" x14ac:dyDescent="0.25">
      <c r="A124"/>
      <c r="B124"/>
    </row>
    <row r="125" spans="1:9" x14ac:dyDescent="0.25">
      <c r="A125"/>
      <c r="B125"/>
    </row>
    <row r="126" spans="1:9" x14ac:dyDescent="0.25">
      <c r="A126"/>
      <c r="B126"/>
    </row>
    <row r="127" spans="1:9" x14ac:dyDescent="0.25">
      <c r="A127"/>
      <c r="B127"/>
    </row>
    <row r="128" spans="1:9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</sheetData>
  <autoFilter ref="A1:I54" xr:uid="{00000000-0001-0000-0000-000000000000}"/>
  <mergeCells count="3">
    <mergeCell ref="A57:B57"/>
    <mergeCell ref="C57:I57"/>
    <mergeCell ref="C79:I79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56D0-11BB-445F-B5D7-7CA95865D5CB}">
  <dimension ref="A3:C8"/>
  <sheetViews>
    <sheetView workbookViewId="0">
      <selection activeCell="D14" sqref="D14"/>
    </sheetView>
  </sheetViews>
  <sheetFormatPr defaultRowHeight="15" x14ac:dyDescent="0.25"/>
  <cols>
    <col min="1" max="1" width="14.7109375" bestFit="1" customWidth="1"/>
    <col min="2" max="2" width="17.42578125" bestFit="1" customWidth="1"/>
    <col min="3" max="3" width="30.42578125" bestFit="1" customWidth="1"/>
  </cols>
  <sheetData>
    <row r="3" spans="1:3" x14ac:dyDescent="0.25">
      <c r="A3" s="9" t="s">
        <v>192</v>
      </c>
      <c r="B3" t="s">
        <v>195</v>
      </c>
      <c r="C3" t="s">
        <v>193</v>
      </c>
    </row>
    <row r="4" spans="1:3" x14ac:dyDescent="0.25">
      <c r="A4" s="10" t="s">
        <v>187</v>
      </c>
      <c r="B4">
        <v>14</v>
      </c>
      <c r="C4">
        <v>148</v>
      </c>
    </row>
    <row r="5" spans="1:3" x14ac:dyDescent="0.25">
      <c r="A5" s="10" t="s">
        <v>183</v>
      </c>
      <c r="B5">
        <v>17</v>
      </c>
      <c r="C5">
        <v>159</v>
      </c>
    </row>
    <row r="6" spans="1:3" x14ac:dyDescent="0.25">
      <c r="A6" s="10" t="s">
        <v>188</v>
      </c>
      <c r="B6">
        <v>17</v>
      </c>
      <c r="C6">
        <v>170</v>
      </c>
    </row>
    <row r="7" spans="1:3" x14ac:dyDescent="0.25">
      <c r="A7" s="10" t="s">
        <v>191</v>
      </c>
      <c r="B7">
        <v>5</v>
      </c>
      <c r="C7">
        <v>61</v>
      </c>
    </row>
    <row r="8" spans="1:3" x14ac:dyDescent="0.25">
      <c r="A8" s="10" t="s">
        <v>194</v>
      </c>
      <c r="B8">
        <v>53</v>
      </c>
      <c r="C8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096C-195D-482A-9523-C0AFF9057CB9}">
  <dimension ref="A1:H54"/>
  <sheetViews>
    <sheetView topLeftCell="A10" workbookViewId="0">
      <selection activeCell="J25" sqref="J25"/>
    </sheetView>
  </sheetViews>
  <sheetFormatPr defaultRowHeight="15" x14ac:dyDescent="0.25"/>
  <cols>
    <col min="2" max="2" width="20.5703125" customWidth="1"/>
    <col min="3" max="3" width="20.85546875" customWidth="1"/>
    <col min="4" max="4" width="15.140625" style="13" customWidth="1"/>
    <col min="5" max="5" width="11.5703125" customWidth="1"/>
    <col min="6" max="6" width="15.7109375" customWidth="1"/>
  </cols>
  <sheetData>
    <row r="1" spans="1:8" x14ac:dyDescent="0.25">
      <c r="A1" s="7" t="s">
        <v>9</v>
      </c>
      <c r="B1" s="4" t="s">
        <v>178</v>
      </c>
      <c r="C1" s="5" t="s">
        <v>109</v>
      </c>
      <c r="D1" s="5" t="s">
        <v>157</v>
      </c>
      <c r="E1" s="13">
        <f>D1-C1</f>
        <v>2.2222222222222199E-2</v>
      </c>
      <c r="F1" s="11" t="str">
        <f>IF(AND(B1="Gallery B",C1&lt;=TIME(10,45,0),D1&gt;=TIME(10,45,0)), "Suspect", "Not Suspect")</f>
        <v>Not Suspect</v>
      </c>
      <c r="H1" s="1" t="s">
        <v>8</v>
      </c>
    </row>
    <row r="2" spans="1:8" x14ac:dyDescent="0.25">
      <c r="A2" s="7" t="s">
        <v>10</v>
      </c>
      <c r="B2" s="4" t="s">
        <v>178</v>
      </c>
      <c r="C2" s="5" t="s">
        <v>110</v>
      </c>
      <c r="D2" s="5">
        <v>0.51388888888888884</v>
      </c>
      <c r="E2" s="13">
        <f t="shared" ref="E2:E53" si="0">D2-C2</f>
        <v>9.3749999999999944E-2</v>
      </c>
      <c r="F2" s="11" t="str">
        <f t="shared" ref="F2:F53" si="1">IF(AND(B2="Gallery B",C2&lt;=TIME( 10,45,0),D2&gt;=TIME( 10,45,0)), "Suspect", "Not Suspect")</f>
        <v>Not Suspect</v>
      </c>
      <c r="H2" s="4">
        <v>4</v>
      </c>
    </row>
    <row r="3" spans="1:8" x14ac:dyDescent="0.25">
      <c r="A3" s="7" t="s">
        <v>11</v>
      </c>
      <c r="B3" s="4" t="s">
        <v>179</v>
      </c>
      <c r="C3" s="5" t="s">
        <v>111</v>
      </c>
      <c r="D3" s="5">
        <v>0.92708333333333337</v>
      </c>
      <c r="E3" s="13">
        <f t="shared" si="0"/>
        <v>0.44305555555555559</v>
      </c>
      <c r="F3" s="11" t="str">
        <f t="shared" si="1"/>
        <v>Not Suspect</v>
      </c>
      <c r="H3" s="15">
        <v>13</v>
      </c>
    </row>
    <row r="4" spans="1:8" x14ac:dyDescent="0.25">
      <c r="A4" s="7" t="s">
        <v>12</v>
      </c>
      <c r="B4" s="4" t="s">
        <v>180</v>
      </c>
      <c r="C4" s="5" t="s">
        <v>112</v>
      </c>
      <c r="D4" s="5" t="s">
        <v>159</v>
      </c>
      <c r="E4" s="13">
        <f t="shared" si="0"/>
        <v>3.8888888888888862E-2</v>
      </c>
      <c r="F4" s="11" t="str">
        <f t="shared" si="1"/>
        <v>Not Suspect</v>
      </c>
      <c r="H4" s="4">
        <v>20</v>
      </c>
    </row>
    <row r="5" spans="1:8" x14ac:dyDescent="0.25">
      <c r="A5" s="7" t="s">
        <v>13</v>
      </c>
      <c r="B5" s="4" t="s">
        <v>181</v>
      </c>
      <c r="C5" s="5" t="s">
        <v>113</v>
      </c>
      <c r="D5" s="5">
        <v>0.96527777777777779</v>
      </c>
      <c r="E5" s="13">
        <f t="shared" si="0"/>
        <v>0.47083333333333333</v>
      </c>
      <c r="F5" s="11" t="str">
        <f t="shared" si="1"/>
        <v>Not Suspect</v>
      </c>
      <c r="H5" s="4">
        <v>7</v>
      </c>
    </row>
    <row r="6" spans="1:8" x14ac:dyDescent="0.25">
      <c r="A6" s="7" t="s">
        <v>14</v>
      </c>
      <c r="B6" s="4" t="s">
        <v>181</v>
      </c>
      <c r="C6" s="5" t="s">
        <v>114</v>
      </c>
      <c r="D6" s="5">
        <v>0.51388888888888884</v>
      </c>
      <c r="E6" s="13">
        <f t="shared" si="0"/>
        <v>0.13194444444444442</v>
      </c>
      <c r="F6" s="11" t="str">
        <f t="shared" si="1"/>
        <v>Not Suspect</v>
      </c>
      <c r="H6" s="4">
        <v>2</v>
      </c>
    </row>
    <row r="7" spans="1:8" x14ac:dyDescent="0.25">
      <c r="A7" s="7" t="s">
        <v>15</v>
      </c>
      <c r="B7" s="4" t="s">
        <v>179</v>
      </c>
      <c r="C7" s="5" t="s">
        <v>115</v>
      </c>
      <c r="D7" s="5">
        <v>0.92708333333333337</v>
      </c>
      <c r="E7" s="13">
        <f t="shared" si="0"/>
        <v>0.48819444444444449</v>
      </c>
      <c r="F7" s="11" t="str">
        <f t="shared" si="1"/>
        <v>Not Suspect</v>
      </c>
      <c r="H7" s="15">
        <v>13</v>
      </c>
    </row>
    <row r="8" spans="1:8" x14ac:dyDescent="0.25">
      <c r="A8" s="7" t="s">
        <v>16</v>
      </c>
      <c r="B8" s="4" t="s">
        <v>182</v>
      </c>
      <c r="C8" s="5" t="s">
        <v>116</v>
      </c>
      <c r="D8" s="5">
        <v>0.95763888888888893</v>
      </c>
      <c r="E8" s="13">
        <f t="shared" si="0"/>
        <v>0.46527777777777779</v>
      </c>
      <c r="F8" s="11" t="str">
        <f t="shared" si="1"/>
        <v>Not Suspect</v>
      </c>
      <c r="H8" s="4">
        <v>2</v>
      </c>
    </row>
    <row r="9" spans="1:8" x14ac:dyDescent="0.25">
      <c r="A9" s="7" t="s">
        <v>17</v>
      </c>
      <c r="B9" s="4" t="s">
        <v>182</v>
      </c>
      <c r="C9" s="5" t="s">
        <v>117</v>
      </c>
      <c r="D9" s="5">
        <v>0.51944444444444449</v>
      </c>
      <c r="E9" s="13">
        <f t="shared" si="0"/>
        <v>9.8611111111111149E-2</v>
      </c>
      <c r="F9" s="11" t="str">
        <f t="shared" si="1"/>
        <v>Not Suspect</v>
      </c>
      <c r="H9" s="4">
        <v>2</v>
      </c>
    </row>
    <row r="10" spans="1:8" x14ac:dyDescent="0.25">
      <c r="A10" s="7" t="s">
        <v>18</v>
      </c>
      <c r="B10" s="4" t="s">
        <v>178</v>
      </c>
      <c r="C10" s="5" t="s">
        <v>118</v>
      </c>
      <c r="D10" s="5">
        <v>0.92986111111111114</v>
      </c>
      <c r="E10" s="13">
        <f t="shared" si="0"/>
        <v>0.45902777777777781</v>
      </c>
      <c r="F10" s="11" t="str">
        <f t="shared" si="1"/>
        <v>Not Suspect</v>
      </c>
      <c r="H10" s="4">
        <v>21</v>
      </c>
    </row>
    <row r="11" spans="1:8" x14ac:dyDescent="0.25">
      <c r="A11" s="7" t="s">
        <v>16</v>
      </c>
      <c r="B11" s="4" t="s">
        <v>182</v>
      </c>
      <c r="C11" s="5" t="s">
        <v>116</v>
      </c>
      <c r="D11" s="5">
        <v>0.95763888888888893</v>
      </c>
      <c r="E11" s="13">
        <f t="shared" si="0"/>
        <v>0.46527777777777779</v>
      </c>
      <c r="F11" s="11" t="str">
        <f t="shared" si="1"/>
        <v>Not Suspect</v>
      </c>
      <c r="H11" s="4">
        <v>0</v>
      </c>
    </row>
    <row r="12" spans="1:8" x14ac:dyDescent="0.25">
      <c r="A12" s="7" t="s">
        <v>19</v>
      </c>
      <c r="B12" s="4" t="s">
        <v>179</v>
      </c>
      <c r="C12" s="5" t="s">
        <v>119</v>
      </c>
      <c r="D12" s="5" t="s">
        <v>162</v>
      </c>
      <c r="E12" s="13">
        <f t="shared" si="0"/>
        <v>4.1666666666666685E-2</v>
      </c>
      <c r="F12" s="11" t="str">
        <f t="shared" si="1"/>
        <v>Not Suspect</v>
      </c>
      <c r="H12" s="4">
        <v>2</v>
      </c>
    </row>
    <row r="13" spans="1:8" x14ac:dyDescent="0.25">
      <c r="A13" s="7" t="s">
        <v>20</v>
      </c>
      <c r="B13" s="4" t="s">
        <v>178</v>
      </c>
      <c r="C13" s="5" t="s">
        <v>120</v>
      </c>
      <c r="D13" s="5" t="s">
        <v>159</v>
      </c>
      <c r="E13" s="13">
        <f t="shared" si="0"/>
        <v>4.6527777777777779E-2</v>
      </c>
      <c r="F13" s="11" t="str">
        <f t="shared" si="1"/>
        <v>Not Suspect</v>
      </c>
      <c r="H13" s="4">
        <v>1</v>
      </c>
    </row>
    <row r="14" spans="1:8" x14ac:dyDescent="0.25">
      <c r="A14" s="7" t="s">
        <v>21</v>
      </c>
      <c r="B14" s="4" t="s">
        <v>179</v>
      </c>
      <c r="C14" s="5" t="s">
        <v>121</v>
      </c>
      <c r="D14" s="5">
        <v>0.50902777777777775</v>
      </c>
      <c r="E14" s="13">
        <f t="shared" si="0"/>
        <v>0.11388888888888887</v>
      </c>
      <c r="F14" s="11" t="str">
        <f t="shared" si="1"/>
        <v>Not Suspect</v>
      </c>
      <c r="H14" s="4">
        <v>16</v>
      </c>
    </row>
    <row r="15" spans="1:8" x14ac:dyDescent="0.25">
      <c r="A15" s="7" t="s">
        <v>22</v>
      </c>
      <c r="B15" s="4" t="s">
        <v>181</v>
      </c>
      <c r="C15" s="5" t="s">
        <v>122</v>
      </c>
      <c r="D15" s="5">
        <v>0.54097222222222219</v>
      </c>
      <c r="E15" s="13">
        <f t="shared" si="0"/>
        <v>8.4722222222222199E-2</v>
      </c>
      <c r="F15" s="11" t="str">
        <f t="shared" si="1"/>
        <v>Not Suspect</v>
      </c>
      <c r="H15" s="4">
        <v>24</v>
      </c>
    </row>
    <row r="16" spans="1:8" x14ac:dyDescent="0.25">
      <c r="A16" s="7" t="s">
        <v>23</v>
      </c>
      <c r="B16" s="4" t="s">
        <v>179</v>
      </c>
      <c r="C16" s="5" t="s">
        <v>123</v>
      </c>
      <c r="D16" s="5" t="s">
        <v>163</v>
      </c>
      <c r="E16" s="13">
        <f t="shared" si="0"/>
        <v>4.3055555555555569E-2</v>
      </c>
      <c r="F16" s="11" t="str">
        <f t="shared" si="1"/>
        <v>Not Suspect</v>
      </c>
      <c r="H16" s="4">
        <v>4</v>
      </c>
    </row>
    <row r="17" spans="1:8" x14ac:dyDescent="0.25">
      <c r="A17" s="7" t="s">
        <v>24</v>
      </c>
      <c r="B17" s="4" t="s">
        <v>180</v>
      </c>
      <c r="C17" s="5" t="s">
        <v>124</v>
      </c>
      <c r="D17" s="5">
        <v>0.5180555555555556</v>
      </c>
      <c r="E17" s="13">
        <f t="shared" si="0"/>
        <v>8.1250000000000044E-2</v>
      </c>
      <c r="F17" s="11" t="str">
        <f t="shared" si="1"/>
        <v>Not Suspect</v>
      </c>
      <c r="H17" s="4">
        <v>10</v>
      </c>
    </row>
    <row r="18" spans="1:8" x14ac:dyDescent="0.25">
      <c r="A18" s="7" t="s">
        <v>25</v>
      </c>
      <c r="B18" s="4" t="s">
        <v>178</v>
      </c>
      <c r="C18" s="5" t="s">
        <v>125</v>
      </c>
      <c r="D18" s="5" t="s">
        <v>164</v>
      </c>
      <c r="E18" s="13">
        <f t="shared" si="0"/>
        <v>4.9999999999999989E-2</v>
      </c>
      <c r="F18" s="11" t="str">
        <f t="shared" si="1"/>
        <v>Not Suspect</v>
      </c>
      <c r="H18" s="4">
        <v>10</v>
      </c>
    </row>
    <row r="19" spans="1:8" x14ac:dyDescent="0.25">
      <c r="A19" s="7" t="s">
        <v>26</v>
      </c>
      <c r="B19" s="4" t="s">
        <v>178</v>
      </c>
      <c r="C19" s="5" t="s">
        <v>126</v>
      </c>
      <c r="D19" s="5" t="s">
        <v>165</v>
      </c>
      <c r="E19" s="13">
        <f t="shared" si="0"/>
        <v>6.1805555555555558E-2</v>
      </c>
      <c r="F19" s="11" t="str">
        <f t="shared" si="1"/>
        <v>Not Suspect</v>
      </c>
      <c r="H19" s="15">
        <v>13</v>
      </c>
    </row>
    <row r="20" spans="1:8" x14ac:dyDescent="0.25">
      <c r="A20" s="7" t="s">
        <v>27</v>
      </c>
      <c r="B20" s="4" t="s">
        <v>179</v>
      </c>
      <c r="C20" s="5" t="s">
        <v>127</v>
      </c>
      <c r="D20" s="5" t="s">
        <v>159</v>
      </c>
      <c r="E20" s="13">
        <f t="shared" si="0"/>
        <v>4.3750000000000011E-2</v>
      </c>
      <c r="F20" s="11" t="str">
        <f t="shared" si="1"/>
        <v>Not Suspect</v>
      </c>
      <c r="H20" s="4">
        <v>5</v>
      </c>
    </row>
    <row r="21" spans="1:8" x14ac:dyDescent="0.25">
      <c r="A21" s="7" t="s">
        <v>28</v>
      </c>
      <c r="B21" s="4" t="s">
        <v>181</v>
      </c>
      <c r="C21" s="5" t="s">
        <v>128</v>
      </c>
      <c r="D21" s="5">
        <v>0.96319444444444446</v>
      </c>
      <c r="E21" s="13">
        <f t="shared" si="0"/>
        <v>0.47500000000000003</v>
      </c>
      <c r="F21" s="11" t="str">
        <f t="shared" si="1"/>
        <v>Not Suspect</v>
      </c>
      <c r="H21" s="4">
        <v>6</v>
      </c>
    </row>
    <row r="22" spans="1:8" x14ac:dyDescent="0.25">
      <c r="A22" s="7" t="s">
        <v>29</v>
      </c>
      <c r="B22" s="4" t="s">
        <v>181</v>
      </c>
      <c r="C22" s="5" t="s">
        <v>126</v>
      </c>
      <c r="D22" s="5" t="s">
        <v>166</v>
      </c>
      <c r="E22" s="13">
        <f t="shared" si="0"/>
        <v>6.7361111111111094E-2</v>
      </c>
      <c r="F22" s="11" t="str">
        <f t="shared" si="1"/>
        <v>Not Suspect</v>
      </c>
      <c r="H22" s="4">
        <v>25</v>
      </c>
    </row>
    <row r="23" spans="1:8" x14ac:dyDescent="0.25">
      <c r="A23" s="7" t="s">
        <v>30</v>
      </c>
      <c r="B23" s="4" t="s">
        <v>180</v>
      </c>
      <c r="C23" s="5" t="s">
        <v>129</v>
      </c>
      <c r="D23" s="5">
        <v>0.95763888888888893</v>
      </c>
      <c r="E23" s="13">
        <f t="shared" si="0"/>
        <v>0.48888888888888893</v>
      </c>
      <c r="F23" s="11" t="str">
        <f t="shared" si="1"/>
        <v>Not Suspect</v>
      </c>
      <c r="H23" s="15">
        <v>13</v>
      </c>
    </row>
    <row r="24" spans="1:8" x14ac:dyDescent="0.25">
      <c r="A24" s="7" t="s">
        <v>31</v>
      </c>
      <c r="B24" s="4" t="s">
        <v>182</v>
      </c>
      <c r="C24" s="5" t="s">
        <v>130</v>
      </c>
      <c r="D24" s="5" t="s">
        <v>167</v>
      </c>
      <c r="E24" s="13">
        <f t="shared" si="0"/>
        <v>1.1111111111111072E-2</v>
      </c>
      <c r="F24" s="11" t="str">
        <f t="shared" si="1"/>
        <v>Not Suspect</v>
      </c>
      <c r="H24" s="4">
        <v>13</v>
      </c>
    </row>
    <row r="25" spans="1:8" x14ac:dyDescent="0.25">
      <c r="A25" s="7" t="s">
        <v>32</v>
      </c>
      <c r="B25" s="4" t="s">
        <v>181</v>
      </c>
      <c r="C25" s="5" t="s">
        <v>131</v>
      </c>
      <c r="D25" s="5">
        <v>0.93611111111111112</v>
      </c>
      <c r="E25" s="13">
        <f t="shared" si="0"/>
        <v>0.48888888888888887</v>
      </c>
      <c r="F25" s="11" t="str">
        <f t="shared" si="1"/>
        <v>Not Suspect</v>
      </c>
      <c r="H25" s="4">
        <v>3</v>
      </c>
    </row>
    <row r="26" spans="1:8" x14ac:dyDescent="0.25">
      <c r="A26" s="7" t="s">
        <v>33</v>
      </c>
      <c r="B26" s="4" t="s">
        <v>179</v>
      </c>
      <c r="C26" s="5" t="s">
        <v>132</v>
      </c>
      <c r="D26" s="5" t="s">
        <v>168</v>
      </c>
      <c r="E26" s="13">
        <f t="shared" si="0"/>
        <v>1.0416666666666685E-2</v>
      </c>
      <c r="F26" s="11" t="str">
        <f t="shared" si="1"/>
        <v>Not Suspect</v>
      </c>
      <c r="H26" s="15">
        <v>13</v>
      </c>
    </row>
    <row r="27" spans="1:8" x14ac:dyDescent="0.25">
      <c r="A27" s="7" t="s">
        <v>34</v>
      </c>
      <c r="B27" s="4" t="s">
        <v>182</v>
      </c>
      <c r="C27" s="5" t="s">
        <v>133</v>
      </c>
      <c r="D27" s="5">
        <v>0.50694444444444442</v>
      </c>
      <c r="E27" s="13">
        <f t="shared" si="0"/>
        <v>4.5833333333333282E-2</v>
      </c>
      <c r="F27" s="11" t="str">
        <f t="shared" si="1"/>
        <v>Not Suspect</v>
      </c>
      <c r="H27" s="4">
        <v>5</v>
      </c>
    </row>
    <row r="28" spans="1:8" x14ac:dyDescent="0.25">
      <c r="A28" s="7" t="s">
        <v>35</v>
      </c>
      <c r="B28" s="4" t="s">
        <v>179</v>
      </c>
      <c r="C28" s="5" t="s">
        <v>134</v>
      </c>
      <c r="D28" s="5">
        <v>0.92083333333333328</v>
      </c>
      <c r="E28" s="13">
        <f t="shared" si="0"/>
        <v>0.46111111111111108</v>
      </c>
      <c r="F28" s="11" t="str">
        <f t="shared" si="1"/>
        <v>Not Suspect</v>
      </c>
      <c r="H28" s="4">
        <v>15</v>
      </c>
    </row>
    <row r="29" spans="1:8" x14ac:dyDescent="0.25">
      <c r="A29" s="7" t="s">
        <v>36</v>
      </c>
      <c r="B29" s="4" t="s">
        <v>182</v>
      </c>
      <c r="C29" s="5" t="s">
        <v>135</v>
      </c>
      <c r="D29" s="5" t="s">
        <v>169</v>
      </c>
      <c r="E29" s="13">
        <f t="shared" si="0"/>
        <v>4.3750000000000011E-2</v>
      </c>
      <c r="F29" s="11" t="str">
        <f t="shared" si="1"/>
        <v>Not Suspect</v>
      </c>
      <c r="H29" s="4">
        <v>19</v>
      </c>
    </row>
    <row r="30" spans="1:8" x14ac:dyDescent="0.25">
      <c r="A30" s="7" t="s">
        <v>37</v>
      </c>
      <c r="B30" s="4" t="s">
        <v>182</v>
      </c>
      <c r="C30" s="5" t="s">
        <v>136</v>
      </c>
      <c r="D30" s="5" t="s">
        <v>170</v>
      </c>
      <c r="E30" s="13">
        <f t="shared" si="0"/>
        <v>9.5833333333333326E-2</v>
      </c>
      <c r="F30" s="11" t="str">
        <f t="shared" si="1"/>
        <v>Not Suspect</v>
      </c>
      <c r="H30" s="4">
        <v>24</v>
      </c>
    </row>
    <row r="31" spans="1:8" x14ac:dyDescent="0.25">
      <c r="A31" s="7" t="s">
        <v>38</v>
      </c>
      <c r="B31" s="4" t="s">
        <v>182</v>
      </c>
      <c r="C31" s="5" t="s">
        <v>137</v>
      </c>
      <c r="D31" s="5" t="s">
        <v>171</v>
      </c>
      <c r="E31" s="13">
        <f t="shared" si="0"/>
        <v>5.8333333333333348E-2</v>
      </c>
      <c r="F31" s="11" t="str">
        <f t="shared" si="1"/>
        <v>Not Suspect</v>
      </c>
      <c r="H31" s="4">
        <v>16</v>
      </c>
    </row>
    <row r="32" spans="1:8" x14ac:dyDescent="0.25">
      <c r="A32" s="7" t="s">
        <v>39</v>
      </c>
      <c r="B32" s="4" t="s">
        <v>180</v>
      </c>
      <c r="C32" s="5" t="s">
        <v>138</v>
      </c>
      <c r="D32" s="5" t="s">
        <v>158</v>
      </c>
      <c r="E32" s="13">
        <f t="shared" si="0"/>
        <v>1.4583333333333337E-2</v>
      </c>
      <c r="F32" s="11" t="str">
        <f t="shared" si="1"/>
        <v>Not Suspect</v>
      </c>
      <c r="H32" s="4">
        <v>21</v>
      </c>
    </row>
    <row r="33" spans="1:8" x14ac:dyDescent="0.25">
      <c r="A33" s="7" t="s">
        <v>40</v>
      </c>
      <c r="B33" s="4" t="s">
        <v>178</v>
      </c>
      <c r="C33" s="5" t="s">
        <v>139</v>
      </c>
      <c r="D33" s="5" t="s">
        <v>172</v>
      </c>
      <c r="E33" s="13">
        <f t="shared" si="0"/>
        <v>3.2638888888888939E-2</v>
      </c>
      <c r="F33" s="11" t="str">
        <f t="shared" si="1"/>
        <v>Not Suspect</v>
      </c>
      <c r="H33" s="4">
        <v>16</v>
      </c>
    </row>
    <row r="34" spans="1:8" x14ac:dyDescent="0.25">
      <c r="A34" s="7" t="s">
        <v>41</v>
      </c>
      <c r="B34" s="4" t="s">
        <v>178</v>
      </c>
      <c r="C34" s="5" t="s">
        <v>140</v>
      </c>
      <c r="D34" s="5">
        <v>0.52847222222222223</v>
      </c>
      <c r="E34" s="13">
        <f t="shared" si="0"/>
        <v>9.0972222222222232E-2</v>
      </c>
      <c r="F34" s="11" t="str">
        <f t="shared" si="1"/>
        <v>Not Suspect</v>
      </c>
      <c r="H34" s="4">
        <v>24</v>
      </c>
    </row>
    <row r="35" spans="1:8" x14ac:dyDescent="0.25">
      <c r="A35" s="7" t="s">
        <v>42</v>
      </c>
      <c r="B35" s="4" t="s">
        <v>181</v>
      </c>
      <c r="C35" s="5" t="s">
        <v>141</v>
      </c>
      <c r="D35" s="5" t="s">
        <v>173</v>
      </c>
      <c r="E35" s="13">
        <f t="shared" si="0"/>
        <v>2.0138888888888873E-2</v>
      </c>
      <c r="F35" s="11" t="str">
        <f t="shared" si="1"/>
        <v>Not Suspect</v>
      </c>
      <c r="H35" s="15">
        <v>13</v>
      </c>
    </row>
    <row r="36" spans="1:8" x14ac:dyDescent="0.25">
      <c r="A36" s="7" t="s">
        <v>43</v>
      </c>
      <c r="B36" s="4" t="s">
        <v>181</v>
      </c>
      <c r="C36" s="5" t="s">
        <v>142</v>
      </c>
      <c r="D36" s="5">
        <v>0.54027777777777775</v>
      </c>
      <c r="E36" s="13">
        <f t="shared" si="0"/>
        <v>0.11874999999999997</v>
      </c>
      <c r="F36" s="11" t="str">
        <f t="shared" si="1"/>
        <v>Not Suspect</v>
      </c>
      <c r="H36" s="4">
        <v>17</v>
      </c>
    </row>
    <row r="37" spans="1:8" x14ac:dyDescent="0.25">
      <c r="A37" s="7" t="s">
        <v>44</v>
      </c>
      <c r="B37" s="4" t="s">
        <v>181</v>
      </c>
      <c r="C37" s="5" t="s">
        <v>143</v>
      </c>
      <c r="D37" s="5">
        <v>0.53263888888888888</v>
      </c>
      <c r="E37" s="13">
        <f t="shared" si="0"/>
        <v>0.14374999999999999</v>
      </c>
      <c r="F37" s="11" t="str">
        <f t="shared" si="1"/>
        <v>Not Suspect</v>
      </c>
      <c r="H37" s="4">
        <v>13</v>
      </c>
    </row>
    <row r="38" spans="1:8" x14ac:dyDescent="0.25">
      <c r="A38" s="7" t="s">
        <v>45</v>
      </c>
      <c r="B38" s="4" t="s">
        <v>178</v>
      </c>
      <c r="C38" s="5" t="s">
        <v>144</v>
      </c>
      <c r="D38" s="5" t="s">
        <v>154</v>
      </c>
      <c r="E38" s="13">
        <f t="shared" si="0"/>
        <v>2.9861111111111116E-2</v>
      </c>
      <c r="F38" s="11" t="str">
        <f t="shared" si="1"/>
        <v>Not Suspect</v>
      </c>
      <c r="H38" s="15">
        <v>13</v>
      </c>
    </row>
    <row r="39" spans="1:8" x14ac:dyDescent="0.25">
      <c r="A39" s="7" t="s">
        <v>46</v>
      </c>
      <c r="B39" s="4" t="s">
        <v>181</v>
      </c>
      <c r="C39" s="5" t="s">
        <v>145</v>
      </c>
      <c r="D39" s="5">
        <v>0.95138888888888884</v>
      </c>
      <c r="E39" s="13">
        <f t="shared" si="0"/>
        <v>0.47777777777777775</v>
      </c>
      <c r="F39" s="11" t="str">
        <f t="shared" si="1"/>
        <v>Not Suspect</v>
      </c>
      <c r="H39" s="4">
        <v>20</v>
      </c>
    </row>
    <row r="40" spans="1:8" x14ac:dyDescent="0.25">
      <c r="A40" s="7" t="s">
        <v>47</v>
      </c>
      <c r="B40" s="4" t="s">
        <v>178</v>
      </c>
      <c r="C40" s="5" t="s">
        <v>146</v>
      </c>
      <c r="D40" s="5">
        <v>0.52569444444444446</v>
      </c>
      <c r="E40" s="13">
        <f t="shared" si="0"/>
        <v>3.5416666666666707E-2</v>
      </c>
      <c r="F40" s="11" t="str">
        <f t="shared" si="1"/>
        <v>Not Suspect</v>
      </c>
      <c r="H40" s="4">
        <v>10</v>
      </c>
    </row>
    <row r="41" spans="1:8" x14ac:dyDescent="0.25">
      <c r="A41" s="7" t="s">
        <v>48</v>
      </c>
      <c r="B41" s="4" t="s">
        <v>180</v>
      </c>
      <c r="C41" s="5" t="s">
        <v>147</v>
      </c>
      <c r="D41" s="5">
        <v>0.50694444444444442</v>
      </c>
      <c r="E41" s="13">
        <f t="shared" si="0"/>
        <v>8.3333333333333315E-2</v>
      </c>
      <c r="F41" s="11" t="str">
        <f t="shared" si="1"/>
        <v>Not Suspect</v>
      </c>
      <c r="H41" s="4">
        <v>15</v>
      </c>
    </row>
    <row r="42" spans="1:8" x14ac:dyDescent="0.25">
      <c r="A42" s="7" t="s">
        <v>49</v>
      </c>
      <c r="B42" s="4" t="s">
        <v>178</v>
      </c>
      <c r="C42" s="5" t="s">
        <v>148</v>
      </c>
      <c r="D42" s="5" t="s">
        <v>160</v>
      </c>
      <c r="E42" s="13">
        <f t="shared" si="0"/>
        <v>4.3055555555555569E-2</v>
      </c>
      <c r="F42" s="11" t="str">
        <f t="shared" si="1"/>
        <v>Not Suspect</v>
      </c>
      <c r="H42" s="4">
        <v>2</v>
      </c>
    </row>
    <row r="43" spans="1:8" x14ac:dyDescent="0.25">
      <c r="A43" s="7" t="s">
        <v>50</v>
      </c>
      <c r="B43" s="4" t="s">
        <v>182</v>
      </c>
      <c r="C43" s="5" t="s">
        <v>149</v>
      </c>
      <c r="D43" s="5">
        <v>0.96458333333333335</v>
      </c>
      <c r="E43" s="13">
        <f t="shared" si="0"/>
        <v>0.46944444444444444</v>
      </c>
      <c r="F43" s="11" t="str">
        <f t="shared" si="1"/>
        <v>Not Suspect</v>
      </c>
      <c r="H43" s="15">
        <v>13</v>
      </c>
    </row>
    <row r="44" spans="1:8" x14ac:dyDescent="0.25">
      <c r="A44" s="7" t="s">
        <v>51</v>
      </c>
      <c r="B44" s="4" t="s">
        <v>181</v>
      </c>
      <c r="C44" s="5" t="s">
        <v>150</v>
      </c>
      <c r="D44" s="5" t="s">
        <v>161</v>
      </c>
      <c r="E44" s="13">
        <f t="shared" si="0"/>
        <v>7.4305555555555514E-2</v>
      </c>
      <c r="F44" s="11" t="str">
        <f t="shared" si="1"/>
        <v>Not Suspect</v>
      </c>
      <c r="H44" s="4">
        <v>25</v>
      </c>
    </row>
    <row r="45" spans="1:8" x14ac:dyDescent="0.25">
      <c r="A45" s="7" t="s">
        <v>52</v>
      </c>
      <c r="B45" s="4" t="s">
        <v>179</v>
      </c>
      <c r="C45" s="5" t="s">
        <v>151</v>
      </c>
      <c r="D45" s="5">
        <v>0.99375000000000002</v>
      </c>
      <c r="E45" s="13">
        <f t="shared" si="0"/>
        <v>0.49652777777777779</v>
      </c>
      <c r="F45" s="11" t="str">
        <f t="shared" si="1"/>
        <v>Not Suspect</v>
      </c>
      <c r="H45" s="4">
        <v>25</v>
      </c>
    </row>
    <row r="46" spans="1:8" x14ac:dyDescent="0.25">
      <c r="A46" s="7" t="s">
        <v>32</v>
      </c>
      <c r="B46" s="4" t="s">
        <v>181</v>
      </c>
      <c r="C46" s="5" t="s">
        <v>131</v>
      </c>
      <c r="D46" s="5">
        <v>0.93611111111111112</v>
      </c>
      <c r="E46" s="13">
        <f t="shared" si="0"/>
        <v>0.48888888888888887</v>
      </c>
      <c r="F46" s="11" t="str">
        <f t="shared" si="1"/>
        <v>Not Suspect</v>
      </c>
      <c r="H46" s="4">
        <v>23</v>
      </c>
    </row>
    <row r="47" spans="1:8" x14ac:dyDescent="0.25">
      <c r="A47" s="7" t="s">
        <v>53</v>
      </c>
      <c r="B47" s="4" t="s">
        <v>181</v>
      </c>
      <c r="C47" s="5" t="s">
        <v>152</v>
      </c>
      <c r="D47" s="5" t="s">
        <v>174</v>
      </c>
      <c r="E47" s="13">
        <f t="shared" si="0"/>
        <v>1.3194444444444453E-2</v>
      </c>
      <c r="F47" s="11" t="str">
        <f t="shared" si="1"/>
        <v>Not Suspect</v>
      </c>
      <c r="H47" s="15">
        <v>13</v>
      </c>
    </row>
    <row r="48" spans="1:8" x14ac:dyDescent="0.25">
      <c r="A48" s="7" t="s">
        <v>54</v>
      </c>
      <c r="B48" s="4" t="s">
        <v>182</v>
      </c>
      <c r="C48" s="5" t="s">
        <v>153</v>
      </c>
      <c r="D48" s="5">
        <v>0.93541666666666667</v>
      </c>
      <c r="E48" s="13">
        <f t="shared" si="0"/>
        <v>0.49305555555555558</v>
      </c>
      <c r="F48" s="11" t="str">
        <f t="shared" si="1"/>
        <v>Not Suspect</v>
      </c>
      <c r="H48" s="4">
        <v>19</v>
      </c>
    </row>
    <row r="49" spans="1:8" x14ac:dyDescent="0.25">
      <c r="A49" s="7" t="s">
        <v>55</v>
      </c>
      <c r="B49" s="4" t="s">
        <v>182</v>
      </c>
      <c r="C49" s="5" t="s">
        <v>152</v>
      </c>
      <c r="D49" s="5">
        <v>0.9375</v>
      </c>
      <c r="E49" s="13">
        <f t="shared" si="0"/>
        <v>0.49861111111111112</v>
      </c>
      <c r="F49" s="11" t="str">
        <f t="shared" si="1"/>
        <v>Not Suspect</v>
      </c>
      <c r="H49" s="4">
        <v>9</v>
      </c>
    </row>
    <row r="50" spans="1:8" x14ac:dyDescent="0.25">
      <c r="A50" s="7" t="s">
        <v>56</v>
      </c>
      <c r="B50" s="4" t="s">
        <v>180</v>
      </c>
      <c r="C50" s="5" t="s">
        <v>154</v>
      </c>
      <c r="D50" s="5" t="s">
        <v>175</v>
      </c>
      <c r="E50" s="13">
        <f t="shared" si="0"/>
        <v>3.6805555555555536E-2</v>
      </c>
      <c r="F50" s="11" t="str">
        <f t="shared" si="1"/>
        <v>Not Suspect</v>
      </c>
      <c r="H50" s="15">
        <v>13</v>
      </c>
    </row>
    <row r="51" spans="1:8" x14ac:dyDescent="0.25">
      <c r="A51" s="7" t="s">
        <v>57</v>
      </c>
      <c r="B51" s="4" t="s">
        <v>181</v>
      </c>
      <c r="C51" s="5" t="s">
        <v>147</v>
      </c>
      <c r="D51" s="5" t="s">
        <v>176</v>
      </c>
      <c r="E51" s="13">
        <f t="shared" si="0"/>
        <v>4.1666666666666519E-3</v>
      </c>
      <c r="F51" s="11" t="str">
        <f t="shared" si="1"/>
        <v>Not Suspect</v>
      </c>
      <c r="H51" s="4">
        <v>12</v>
      </c>
    </row>
    <row r="52" spans="1:8" x14ac:dyDescent="0.25">
      <c r="A52" s="7" t="s">
        <v>40</v>
      </c>
      <c r="B52" s="4" t="s">
        <v>178</v>
      </c>
      <c r="C52" s="5" t="s">
        <v>155</v>
      </c>
      <c r="D52" s="5" t="s">
        <v>172</v>
      </c>
      <c r="E52" s="13">
        <f t="shared" si="0"/>
        <v>3.2638888888888939E-2</v>
      </c>
      <c r="F52" s="11" t="str">
        <f t="shared" si="1"/>
        <v>Not Suspect</v>
      </c>
      <c r="H52" s="15">
        <v>13</v>
      </c>
    </row>
    <row r="53" spans="1:8" x14ac:dyDescent="0.25">
      <c r="A53" s="7" t="s">
        <v>58</v>
      </c>
      <c r="B53" s="4" t="s">
        <v>180</v>
      </c>
      <c r="C53" s="5" t="s">
        <v>156</v>
      </c>
      <c r="D53" s="5" t="s">
        <v>177</v>
      </c>
      <c r="E53" s="13">
        <f t="shared" si="0"/>
        <v>6.9444444444444198E-3</v>
      </c>
      <c r="F53" s="11" t="str">
        <f t="shared" si="1"/>
        <v>Not Suspect</v>
      </c>
      <c r="H53" s="4">
        <v>24</v>
      </c>
    </row>
    <row r="54" spans="1:8" x14ac:dyDescent="0.25">
      <c r="H54" s="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24F8-406C-44C0-9DB3-8E443BBF232D}">
  <dimension ref="A1:G32"/>
  <sheetViews>
    <sheetView workbookViewId="0">
      <selection activeCell="G2" sqref="G2"/>
    </sheetView>
  </sheetViews>
  <sheetFormatPr defaultRowHeight="15" x14ac:dyDescent="0.25"/>
  <cols>
    <col min="2" max="2" width="20.5703125" customWidth="1"/>
    <col min="3" max="3" width="20.85546875" customWidth="1"/>
    <col min="4" max="4" width="15.140625" style="13" customWidth="1"/>
    <col min="5" max="6" width="19.7109375" customWidth="1"/>
    <col min="7" max="7" width="15.7109375" customWidth="1"/>
  </cols>
  <sheetData>
    <row r="1" spans="1:7" x14ac:dyDescent="0.25">
      <c r="A1" s="6" t="s">
        <v>0</v>
      </c>
      <c r="B1" s="6" t="s">
        <v>1</v>
      </c>
      <c r="C1" s="2" t="s">
        <v>2</v>
      </c>
      <c r="D1" s="2" t="s">
        <v>3</v>
      </c>
      <c r="E1" s="1" t="s">
        <v>4</v>
      </c>
      <c r="F1" s="14"/>
    </row>
    <row r="2" spans="1:7" x14ac:dyDescent="0.25">
      <c r="A2" s="7" t="s">
        <v>9</v>
      </c>
      <c r="B2" s="4" t="s">
        <v>178</v>
      </c>
      <c r="C2" s="5" t="s">
        <v>109</v>
      </c>
      <c r="D2" s="5" t="s">
        <v>157</v>
      </c>
      <c r="E2" s="13">
        <f>D2-C2</f>
        <v>2.2222222222222199E-2</v>
      </c>
      <c r="F2" s="13"/>
      <c r="G2" s="11" t="str">
        <f>IF(AND(B2="Gallery B",C2&lt;=TIME(10,45,0),D2&gt;=TIME(10,45,0)), "Suspect", "Not Suspect")</f>
        <v>Not Suspect</v>
      </c>
    </row>
    <row r="3" spans="1:7" x14ac:dyDescent="0.25">
      <c r="A3" s="7" t="s">
        <v>10</v>
      </c>
      <c r="B3" s="4" t="s">
        <v>178</v>
      </c>
      <c r="C3" s="5" t="s">
        <v>110</v>
      </c>
      <c r="D3" s="5">
        <v>0.51388888888888884</v>
      </c>
      <c r="E3" s="13">
        <f t="shared" ref="E3:E32" si="0">D3-C3</f>
        <v>9.3749999999999944E-2</v>
      </c>
      <c r="F3" s="13"/>
      <c r="G3" s="11" t="str">
        <f t="shared" ref="G3:G32" si="1">IF(AND(B3="Gallery B",C3&lt;=TIME( 10,45,0),D3&gt;=TIME( 10,45,0)), "Suspect", "Not Suspect")</f>
        <v>Not Suspect</v>
      </c>
    </row>
    <row r="4" spans="1:7" x14ac:dyDescent="0.25">
      <c r="A4" s="7" t="s">
        <v>12</v>
      </c>
      <c r="B4" s="4" t="s">
        <v>180</v>
      </c>
      <c r="C4" s="5" t="s">
        <v>112</v>
      </c>
      <c r="D4" s="5" t="s">
        <v>159</v>
      </c>
      <c r="E4" s="13">
        <f t="shared" si="0"/>
        <v>3.8888888888888862E-2</v>
      </c>
      <c r="F4" s="13"/>
      <c r="G4" s="11" t="str">
        <f t="shared" si="1"/>
        <v>Not Suspect</v>
      </c>
    </row>
    <row r="5" spans="1:7" x14ac:dyDescent="0.25">
      <c r="A5" s="7" t="s">
        <v>16</v>
      </c>
      <c r="B5" s="4" t="s">
        <v>182</v>
      </c>
      <c r="C5" s="5" t="s">
        <v>116</v>
      </c>
      <c r="D5" s="5">
        <v>0.95763888888888893</v>
      </c>
      <c r="E5" s="13">
        <f t="shared" si="0"/>
        <v>0.46527777777777779</v>
      </c>
      <c r="F5" s="13"/>
      <c r="G5" s="11" t="str">
        <f t="shared" si="1"/>
        <v>Not Suspect</v>
      </c>
    </row>
    <row r="6" spans="1:7" x14ac:dyDescent="0.25">
      <c r="A6" s="7" t="s">
        <v>17</v>
      </c>
      <c r="B6" s="4" t="s">
        <v>182</v>
      </c>
      <c r="C6" s="5" t="s">
        <v>117</v>
      </c>
      <c r="D6" s="5">
        <v>0.51944444444444449</v>
      </c>
      <c r="E6" s="13">
        <f t="shared" si="0"/>
        <v>9.8611111111111149E-2</v>
      </c>
      <c r="F6" s="13"/>
      <c r="G6" s="11" t="str">
        <f t="shared" si="1"/>
        <v>Not Suspect</v>
      </c>
    </row>
    <row r="7" spans="1:7" x14ac:dyDescent="0.25">
      <c r="A7" s="7" t="s">
        <v>18</v>
      </c>
      <c r="B7" s="4" t="s">
        <v>178</v>
      </c>
      <c r="C7" s="5" t="s">
        <v>118</v>
      </c>
      <c r="D7" s="5">
        <v>0.92986111111111114</v>
      </c>
      <c r="E7" s="13">
        <f t="shared" si="0"/>
        <v>0.45902777777777781</v>
      </c>
      <c r="F7" s="13"/>
      <c r="G7" s="11" t="str">
        <f t="shared" si="1"/>
        <v>Not Suspect</v>
      </c>
    </row>
    <row r="8" spans="1:7" x14ac:dyDescent="0.25">
      <c r="A8" s="7" t="s">
        <v>16</v>
      </c>
      <c r="B8" s="4" t="s">
        <v>182</v>
      </c>
      <c r="C8" s="5" t="s">
        <v>116</v>
      </c>
      <c r="D8" s="5">
        <v>0.95763888888888893</v>
      </c>
      <c r="E8" s="13">
        <f t="shared" si="0"/>
        <v>0.46527777777777779</v>
      </c>
      <c r="F8" s="13"/>
      <c r="G8" s="11" t="str">
        <f t="shared" si="1"/>
        <v>Not Suspect</v>
      </c>
    </row>
    <row r="9" spans="1:7" x14ac:dyDescent="0.25">
      <c r="A9" s="7" t="s">
        <v>20</v>
      </c>
      <c r="B9" s="4" t="s">
        <v>178</v>
      </c>
      <c r="C9" s="5" t="s">
        <v>120</v>
      </c>
      <c r="D9" s="5" t="s">
        <v>159</v>
      </c>
      <c r="E9" s="13">
        <f t="shared" si="0"/>
        <v>4.6527777777777779E-2</v>
      </c>
      <c r="F9" s="13"/>
      <c r="G9" s="11" t="str">
        <f t="shared" si="1"/>
        <v>Not Suspect</v>
      </c>
    </row>
    <row r="10" spans="1:7" x14ac:dyDescent="0.25">
      <c r="A10" s="7" t="s">
        <v>21</v>
      </c>
      <c r="B10" s="4" t="s">
        <v>179</v>
      </c>
      <c r="C10" s="5" t="s">
        <v>121</v>
      </c>
      <c r="D10" s="5">
        <v>0.50902777777777775</v>
      </c>
      <c r="E10" s="13">
        <f t="shared" si="0"/>
        <v>0.11388888888888887</v>
      </c>
      <c r="F10" s="13"/>
      <c r="G10" s="11" t="str">
        <f t="shared" si="1"/>
        <v>Not Suspect</v>
      </c>
    </row>
    <row r="11" spans="1:7" x14ac:dyDescent="0.25">
      <c r="A11" s="7" t="s">
        <v>24</v>
      </c>
      <c r="B11" s="4" t="s">
        <v>180</v>
      </c>
      <c r="C11" s="5" t="s">
        <v>124</v>
      </c>
      <c r="D11" s="5">
        <v>0.5180555555555556</v>
      </c>
      <c r="E11" s="13">
        <f t="shared" si="0"/>
        <v>8.1250000000000044E-2</v>
      </c>
      <c r="F11" s="13"/>
      <c r="G11" s="11" t="str">
        <f t="shared" si="1"/>
        <v>Not Suspect</v>
      </c>
    </row>
    <row r="12" spans="1:7" x14ac:dyDescent="0.25">
      <c r="A12" s="7" t="s">
        <v>25</v>
      </c>
      <c r="B12" s="4" t="s">
        <v>178</v>
      </c>
      <c r="C12" s="5" t="s">
        <v>125</v>
      </c>
      <c r="D12" s="5" t="s">
        <v>164</v>
      </c>
      <c r="E12" s="13">
        <f t="shared" si="0"/>
        <v>4.9999999999999989E-2</v>
      </c>
      <c r="F12" s="13"/>
      <c r="G12" s="11" t="str">
        <f t="shared" si="1"/>
        <v>Not Suspect</v>
      </c>
    </row>
    <row r="13" spans="1:7" x14ac:dyDescent="0.25">
      <c r="A13" s="7" t="s">
        <v>26</v>
      </c>
      <c r="B13" s="4" t="s">
        <v>178</v>
      </c>
      <c r="C13" s="5" t="s">
        <v>126</v>
      </c>
      <c r="D13" s="5" t="s">
        <v>165</v>
      </c>
      <c r="E13" s="13">
        <f t="shared" si="0"/>
        <v>6.1805555555555558E-2</v>
      </c>
      <c r="F13" s="13"/>
      <c r="G13" s="11" t="str">
        <f t="shared" si="1"/>
        <v>Not Suspect</v>
      </c>
    </row>
    <row r="14" spans="1:7" x14ac:dyDescent="0.25">
      <c r="A14" s="7" t="s">
        <v>30</v>
      </c>
      <c r="B14" s="4" t="s">
        <v>180</v>
      </c>
      <c r="C14" s="5" t="s">
        <v>129</v>
      </c>
      <c r="D14" s="5">
        <v>0.95763888888888893</v>
      </c>
      <c r="E14" s="13">
        <f t="shared" si="0"/>
        <v>0.48888888888888893</v>
      </c>
      <c r="F14" s="13"/>
      <c r="G14" s="11" t="str">
        <f t="shared" si="1"/>
        <v>Not Suspect</v>
      </c>
    </row>
    <row r="15" spans="1:7" x14ac:dyDescent="0.25">
      <c r="A15" s="7" t="s">
        <v>31</v>
      </c>
      <c r="B15" s="4" t="s">
        <v>182</v>
      </c>
      <c r="C15" s="5" t="s">
        <v>130</v>
      </c>
      <c r="D15" s="5" t="s">
        <v>167</v>
      </c>
      <c r="E15" s="13">
        <f t="shared" si="0"/>
        <v>1.1111111111111072E-2</v>
      </c>
      <c r="F15" s="13"/>
      <c r="G15" s="11" t="str">
        <f t="shared" si="1"/>
        <v>Not Suspect</v>
      </c>
    </row>
    <row r="16" spans="1:7" x14ac:dyDescent="0.25">
      <c r="A16" s="7" t="s">
        <v>34</v>
      </c>
      <c r="B16" s="4" t="s">
        <v>182</v>
      </c>
      <c r="C16" s="5" t="s">
        <v>133</v>
      </c>
      <c r="D16" s="5">
        <v>0.50694444444444442</v>
      </c>
      <c r="E16" s="13">
        <f t="shared" si="0"/>
        <v>4.5833333333333282E-2</v>
      </c>
      <c r="F16" s="13"/>
      <c r="G16" s="11" t="str">
        <f t="shared" si="1"/>
        <v>Not Suspect</v>
      </c>
    </row>
    <row r="17" spans="1:7" x14ac:dyDescent="0.25">
      <c r="A17" s="7" t="s">
        <v>36</v>
      </c>
      <c r="B17" s="4" t="s">
        <v>182</v>
      </c>
      <c r="C17" s="5" t="s">
        <v>135</v>
      </c>
      <c r="D17" s="5" t="s">
        <v>169</v>
      </c>
      <c r="E17" s="13">
        <f t="shared" si="0"/>
        <v>4.3750000000000011E-2</v>
      </c>
      <c r="F17" s="13"/>
      <c r="G17" s="11" t="str">
        <f t="shared" si="1"/>
        <v>Not Suspect</v>
      </c>
    </row>
    <row r="18" spans="1:7" x14ac:dyDescent="0.25">
      <c r="A18" s="7" t="s">
        <v>37</v>
      </c>
      <c r="B18" s="4" t="s">
        <v>182</v>
      </c>
      <c r="C18" s="5" t="s">
        <v>136</v>
      </c>
      <c r="D18" s="5" t="s">
        <v>170</v>
      </c>
      <c r="E18" s="13">
        <f t="shared" si="0"/>
        <v>9.5833333333333326E-2</v>
      </c>
      <c r="F18" s="13"/>
      <c r="G18" s="11" t="str">
        <f t="shared" si="1"/>
        <v>Not Suspect</v>
      </c>
    </row>
    <row r="19" spans="1:7" x14ac:dyDescent="0.25">
      <c r="A19" s="7" t="s">
        <v>38</v>
      </c>
      <c r="B19" s="4" t="s">
        <v>182</v>
      </c>
      <c r="C19" s="5" t="s">
        <v>137</v>
      </c>
      <c r="D19" s="5" t="s">
        <v>171</v>
      </c>
      <c r="E19" s="13">
        <f t="shared" si="0"/>
        <v>5.8333333333333348E-2</v>
      </c>
      <c r="F19" s="13"/>
      <c r="G19" s="11" t="str">
        <f t="shared" si="1"/>
        <v>Not Suspect</v>
      </c>
    </row>
    <row r="20" spans="1:7" x14ac:dyDescent="0.25">
      <c r="A20" s="7" t="s">
        <v>39</v>
      </c>
      <c r="B20" s="4" t="s">
        <v>180</v>
      </c>
      <c r="C20" s="5" t="s">
        <v>138</v>
      </c>
      <c r="D20" s="5" t="s">
        <v>158</v>
      </c>
      <c r="E20" s="13">
        <f t="shared" si="0"/>
        <v>1.4583333333333337E-2</v>
      </c>
      <c r="F20" s="13"/>
      <c r="G20" s="11" t="str">
        <f t="shared" si="1"/>
        <v>Not Suspect</v>
      </c>
    </row>
    <row r="21" spans="1:7" x14ac:dyDescent="0.25">
      <c r="A21" s="7" t="s">
        <v>40</v>
      </c>
      <c r="B21" s="4" t="s">
        <v>178</v>
      </c>
      <c r="C21" s="5" t="s">
        <v>139</v>
      </c>
      <c r="D21" s="5" t="s">
        <v>172</v>
      </c>
      <c r="E21" s="13">
        <f t="shared" si="0"/>
        <v>3.2638888888888939E-2</v>
      </c>
      <c r="F21" s="13"/>
      <c r="G21" s="11" t="str">
        <f t="shared" si="1"/>
        <v>Not Suspect</v>
      </c>
    </row>
    <row r="22" spans="1:7" x14ac:dyDescent="0.25">
      <c r="A22" s="7" t="s">
        <v>41</v>
      </c>
      <c r="B22" s="4" t="s">
        <v>178</v>
      </c>
      <c r="C22" s="5" t="s">
        <v>140</v>
      </c>
      <c r="D22" s="5">
        <v>0.52847222222222223</v>
      </c>
      <c r="E22" s="13">
        <f t="shared" si="0"/>
        <v>9.0972222222222232E-2</v>
      </c>
      <c r="F22" s="13"/>
      <c r="G22" s="11" t="str">
        <f t="shared" si="1"/>
        <v>Not Suspect</v>
      </c>
    </row>
    <row r="23" spans="1:7" x14ac:dyDescent="0.25">
      <c r="A23" s="7" t="s">
        <v>45</v>
      </c>
      <c r="B23" s="4" t="s">
        <v>178</v>
      </c>
      <c r="C23" s="5" t="s">
        <v>144</v>
      </c>
      <c r="D23" s="5" t="s">
        <v>154</v>
      </c>
      <c r="E23" s="13">
        <f t="shared" si="0"/>
        <v>2.9861111111111116E-2</v>
      </c>
      <c r="F23" s="13"/>
      <c r="G23" s="11" t="str">
        <f t="shared" si="1"/>
        <v>Not Suspect</v>
      </c>
    </row>
    <row r="24" spans="1:7" x14ac:dyDescent="0.25">
      <c r="A24" s="7" t="s">
        <v>47</v>
      </c>
      <c r="B24" s="4" t="s">
        <v>178</v>
      </c>
      <c r="C24" s="5" t="s">
        <v>146</v>
      </c>
      <c r="D24" s="5">
        <v>0.52569444444444446</v>
      </c>
      <c r="E24" s="13">
        <f t="shared" si="0"/>
        <v>3.5416666666666707E-2</v>
      </c>
      <c r="F24" s="13"/>
      <c r="G24" s="11" t="str">
        <f t="shared" si="1"/>
        <v>Not Suspect</v>
      </c>
    </row>
    <row r="25" spans="1:7" x14ac:dyDescent="0.25">
      <c r="A25" s="7" t="s">
        <v>48</v>
      </c>
      <c r="B25" s="4" t="s">
        <v>180</v>
      </c>
      <c r="C25" s="5" t="s">
        <v>147</v>
      </c>
      <c r="D25" s="5">
        <v>0.50694444444444442</v>
      </c>
      <c r="E25" s="13">
        <f t="shared" si="0"/>
        <v>8.3333333333333315E-2</v>
      </c>
      <c r="F25" s="13"/>
      <c r="G25" s="11" t="str">
        <f t="shared" si="1"/>
        <v>Not Suspect</v>
      </c>
    </row>
    <row r="26" spans="1:7" x14ac:dyDescent="0.25">
      <c r="A26" s="7" t="s">
        <v>49</v>
      </c>
      <c r="B26" s="4" t="s">
        <v>178</v>
      </c>
      <c r="C26" s="5" t="s">
        <v>148</v>
      </c>
      <c r="D26" s="5" t="s">
        <v>160</v>
      </c>
      <c r="E26" s="13">
        <f t="shared" si="0"/>
        <v>4.3055555555555569E-2</v>
      </c>
      <c r="F26" s="13"/>
      <c r="G26" s="11" t="str">
        <f t="shared" si="1"/>
        <v>Not Suspect</v>
      </c>
    </row>
    <row r="27" spans="1:7" x14ac:dyDescent="0.25">
      <c r="A27" s="7" t="s">
        <v>50</v>
      </c>
      <c r="B27" s="4" t="s">
        <v>182</v>
      </c>
      <c r="C27" s="5" t="s">
        <v>149</v>
      </c>
      <c r="D27" s="5">
        <v>0.96458333333333335</v>
      </c>
      <c r="E27" s="13">
        <f t="shared" si="0"/>
        <v>0.46944444444444444</v>
      </c>
      <c r="F27" s="13"/>
      <c r="G27" s="11" t="str">
        <f t="shared" si="1"/>
        <v>Not Suspect</v>
      </c>
    </row>
    <row r="28" spans="1:7" x14ac:dyDescent="0.25">
      <c r="A28" s="7" t="s">
        <v>54</v>
      </c>
      <c r="B28" s="4" t="s">
        <v>182</v>
      </c>
      <c r="C28" s="5" t="s">
        <v>153</v>
      </c>
      <c r="D28" s="5">
        <v>0.93541666666666667</v>
      </c>
      <c r="E28" s="13">
        <f t="shared" si="0"/>
        <v>0.49305555555555558</v>
      </c>
      <c r="F28" s="13"/>
      <c r="G28" s="11" t="str">
        <f t="shared" si="1"/>
        <v>Not Suspect</v>
      </c>
    </row>
    <row r="29" spans="1:7" x14ac:dyDescent="0.25">
      <c r="A29" s="7" t="s">
        <v>55</v>
      </c>
      <c r="B29" s="4" t="s">
        <v>182</v>
      </c>
      <c r="C29" s="5" t="s">
        <v>152</v>
      </c>
      <c r="D29" s="5">
        <v>0.9375</v>
      </c>
      <c r="E29" s="13">
        <f t="shared" si="0"/>
        <v>0.49861111111111112</v>
      </c>
      <c r="F29" s="13"/>
      <c r="G29" s="11" t="str">
        <f t="shared" si="1"/>
        <v>Not Suspect</v>
      </c>
    </row>
    <row r="30" spans="1:7" x14ac:dyDescent="0.25">
      <c r="A30" s="7" t="s">
        <v>56</v>
      </c>
      <c r="B30" s="4" t="s">
        <v>180</v>
      </c>
      <c r="C30" s="5" t="s">
        <v>154</v>
      </c>
      <c r="D30" s="5" t="s">
        <v>175</v>
      </c>
      <c r="E30" s="13">
        <f t="shared" si="0"/>
        <v>3.6805555555555536E-2</v>
      </c>
      <c r="F30" s="13"/>
      <c r="G30" s="11" t="str">
        <f t="shared" si="1"/>
        <v>Not Suspect</v>
      </c>
    </row>
    <row r="31" spans="1:7" x14ac:dyDescent="0.25">
      <c r="A31" s="7" t="s">
        <v>40</v>
      </c>
      <c r="B31" s="4" t="s">
        <v>178</v>
      </c>
      <c r="C31" s="5" t="s">
        <v>155</v>
      </c>
      <c r="D31" s="5" t="s">
        <v>172</v>
      </c>
      <c r="E31" s="13">
        <f t="shared" si="0"/>
        <v>3.2638888888888939E-2</v>
      </c>
      <c r="F31" s="13"/>
      <c r="G31" s="11" t="str">
        <f t="shared" si="1"/>
        <v>Not Suspect</v>
      </c>
    </row>
    <row r="32" spans="1:7" x14ac:dyDescent="0.25">
      <c r="A32" s="7" t="s">
        <v>58</v>
      </c>
      <c r="B32" s="4" t="s">
        <v>180</v>
      </c>
      <c r="C32" s="5" t="s">
        <v>156</v>
      </c>
      <c r="D32" s="5" t="s">
        <v>177</v>
      </c>
      <c r="E32" s="13">
        <f t="shared" si="0"/>
        <v>6.9444444444444198E-3</v>
      </c>
      <c r="F32" s="13"/>
      <c r="G32" s="11" t="str">
        <f t="shared" si="1"/>
        <v>Not Suspect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8AFC-B528-4EFD-98CA-3D9F21C2DFB3}">
  <dimension ref="A1:N55"/>
  <sheetViews>
    <sheetView workbookViewId="0">
      <selection activeCell="U41" sqref="U41"/>
    </sheetView>
  </sheetViews>
  <sheetFormatPr defaultRowHeight="15" x14ac:dyDescent="0.25"/>
  <cols>
    <col min="13" max="13" width="13.140625" bestFit="1" customWidth="1"/>
    <col min="14" max="14" width="30.42578125" bestFit="1" customWidth="1"/>
  </cols>
  <sheetData>
    <row r="1" spans="1:14" x14ac:dyDescent="0.25">
      <c r="A1" s="6" t="s">
        <v>0</v>
      </c>
      <c r="B1" s="6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196</v>
      </c>
      <c r="K1" s="16" t="s">
        <v>198</v>
      </c>
      <c r="L1" s="17" t="s">
        <v>199</v>
      </c>
      <c r="M1" s="9" t="s">
        <v>192</v>
      </c>
      <c r="N1" t="s">
        <v>193</v>
      </c>
    </row>
    <row r="2" spans="1:14" x14ac:dyDescent="0.25">
      <c r="A2" s="7" t="s">
        <v>9</v>
      </c>
      <c r="B2" s="7" t="s">
        <v>59</v>
      </c>
      <c r="C2" s="5">
        <v>0.43333333333333335</v>
      </c>
      <c r="D2" s="5" t="s">
        <v>157</v>
      </c>
      <c r="E2" s="4" t="s">
        <v>178</v>
      </c>
      <c r="F2" s="4" t="s">
        <v>183</v>
      </c>
      <c r="G2" s="4" t="s">
        <v>187</v>
      </c>
      <c r="H2" s="4" t="s">
        <v>189</v>
      </c>
      <c r="I2" s="4">
        <v>4</v>
      </c>
      <c r="J2" s="13">
        <f>D2-C2</f>
        <v>2.2222222222222199E-2</v>
      </c>
      <c r="K2" s="11" t="str">
        <f>IF(AND(E2="Gallery B",C2&lt;=TIME(10,45,0),D2&gt;=TIME(10,45,0)), "Suspect", "Not Suspect")</f>
        <v>Suspect</v>
      </c>
      <c r="L2">
        <f t="shared" ref="L2:L54" si="0">MEDIAN(I2:I54)</f>
        <v>13</v>
      </c>
      <c r="M2" s="10" t="s">
        <v>36</v>
      </c>
      <c r="N2">
        <v>24</v>
      </c>
    </row>
    <row r="3" spans="1:14" x14ac:dyDescent="0.25">
      <c r="A3" s="7" t="s">
        <v>10</v>
      </c>
      <c r="B3" s="7" t="s">
        <v>60</v>
      </c>
      <c r="C3" s="5">
        <v>0.4201388888888889</v>
      </c>
      <c r="D3" s="5">
        <v>0.51388888888888884</v>
      </c>
      <c r="E3" s="4" t="s">
        <v>178</v>
      </c>
      <c r="F3" s="15" t="s">
        <v>197</v>
      </c>
      <c r="G3" s="4" t="s">
        <v>187</v>
      </c>
      <c r="H3" s="4" t="s">
        <v>189</v>
      </c>
      <c r="I3" s="15">
        <v>13</v>
      </c>
      <c r="J3" s="13">
        <f t="shared" ref="J3:J54" si="1">D3-C3</f>
        <v>9.3749999999999944E-2</v>
      </c>
      <c r="K3" s="11" t="str">
        <f t="shared" ref="K3:K54" si="2">IF(AND(E3="Gallery B",C3&lt;=TIME(10,45,0),D3&gt;=TIME(10,45,0)), "Suspect", "Not Suspect")</f>
        <v>Suspect</v>
      </c>
      <c r="L3">
        <f t="shared" si="0"/>
        <v>13</v>
      </c>
      <c r="M3" s="10" t="s">
        <v>43</v>
      </c>
      <c r="N3">
        <v>13</v>
      </c>
    </row>
    <row r="4" spans="1:14" x14ac:dyDescent="0.25">
      <c r="A4" s="7" t="s">
        <v>11</v>
      </c>
      <c r="B4" s="7" t="s">
        <v>61</v>
      </c>
      <c r="C4" s="12">
        <v>0.48402777777777778</v>
      </c>
      <c r="D4" s="5">
        <v>0.92708333333333337</v>
      </c>
      <c r="E4" s="4" t="s">
        <v>179</v>
      </c>
      <c r="F4" s="4" t="s">
        <v>184</v>
      </c>
      <c r="G4" s="4" t="s">
        <v>188</v>
      </c>
      <c r="H4" s="4" t="s">
        <v>190</v>
      </c>
      <c r="I4" s="4">
        <v>20</v>
      </c>
      <c r="J4" s="13">
        <f t="shared" si="1"/>
        <v>0.44305555555555559</v>
      </c>
      <c r="K4" s="11" t="str">
        <f t="shared" si="2"/>
        <v>Not Suspect</v>
      </c>
      <c r="L4">
        <f t="shared" si="0"/>
        <v>13</v>
      </c>
      <c r="M4" s="10" t="s">
        <v>45</v>
      </c>
      <c r="N4">
        <v>20</v>
      </c>
    </row>
    <row r="5" spans="1:14" x14ac:dyDescent="0.25">
      <c r="A5" s="7" t="s">
        <v>12</v>
      </c>
      <c r="B5" s="7" t="s">
        <v>62</v>
      </c>
      <c r="C5" s="5">
        <v>0.40138888888888891</v>
      </c>
      <c r="D5" s="5" t="s">
        <v>159</v>
      </c>
      <c r="E5" s="4" t="s">
        <v>180</v>
      </c>
      <c r="F5" s="4" t="s">
        <v>185</v>
      </c>
      <c r="G5" s="4" t="s">
        <v>188</v>
      </c>
      <c r="H5" s="4" t="s">
        <v>190</v>
      </c>
      <c r="I5" s="4">
        <v>7</v>
      </c>
      <c r="J5" s="13">
        <f t="shared" si="1"/>
        <v>3.8888888888888862E-2</v>
      </c>
      <c r="K5" s="11" t="str">
        <f t="shared" si="2"/>
        <v>Not Suspect</v>
      </c>
      <c r="L5">
        <f t="shared" si="0"/>
        <v>13</v>
      </c>
      <c r="M5" s="10" t="s">
        <v>17</v>
      </c>
      <c r="N5">
        <v>21</v>
      </c>
    </row>
    <row r="6" spans="1:14" x14ac:dyDescent="0.25">
      <c r="A6" s="7" t="s">
        <v>13</v>
      </c>
      <c r="B6" s="7" t="s">
        <v>63</v>
      </c>
      <c r="C6" s="5">
        <v>0.49444444444444446</v>
      </c>
      <c r="D6" s="5">
        <v>0.96527777777777779</v>
      </c>
      <c r="E6" s="4" t="s">
        <v>181</v>
      </c>
      <c r="F6" s="4" t="s">
        <v>184</v>
      </c>
      <c r="G6" s="4" t="s">
        <v>183</v>
      </c>
      <c r="H6" s="4" t="s">
        <v>189</v>
      </c>
      <c r="I6" s="4">
        <v>2</v>
      </c>
      <c r="J6" s="13">
        <f t="shared" si="1"/>
        <v>0.47083333333333333</v>
      </c>
      <c r="K6" s="11" t="str">
        <f t="shared" si="2"/>
        <v>Not Suspect</v>
      </c>
      <c r="L6">
        <f t="shared" si="0"/>
        <v>13</v>
      </c>
      <c r="M6" s="10" t="s">
        <v>23</v>
      </c>
      <c r="N6">
        <v>10</v>
      </c>
    </row>
    <row r="7" spans="1:14" x14ac:dyDescent="0.25">
      <c r="A7" s="7" t="s">
        <v>14</v>
      </c>
      <c r="B7" s="7" t="s">
        <v>64</v>
      </c>
      <c r="C7" s="5">
        <v>0.38194444444444442</v>
      </c>
      <c r="D7" s="5">
        <v>0.51388888888888884</v>
      </c>
      <c r="E7" s="4" t="s">
        <v>181</v>
      </c>
      <c r="F7" s="4" t="s">
        <v>183</v>
      </c>
      <c r="G7" s="15" t="s">
        <v>197</v>
      </c>
      <c r="H7" s="4" t="s">
        <v>190</v>
      </c>
      <c r="I7" s="15">
        <v>13</v>
      </c>
      <c r="J7" s="13">
        <f t="shared" si="1"/>
        <v>0.13194444444444442</v>
      </c>
      <c r="K7" s="11" t="str">
        <f t="shared" si="2"/>
        <v>Not Suspect</v>
      </c>
      <c r="L7">
        <f t="shared" si="0"/>
        <v>13</v>
      </c>
      <c r="M7" s="10" t="s">
        <v>14</v>
      </c>
      <c r="N7">
        <v>13</v>
      </c>
    </row>
    <row r="8" spans="1:14" x14ac:dyDescent="0.25">
      <c r="A8" s="7" t="s">
        <v>15</v>
      </c>
      <c r="B8" s="7" t="s">
        <v>65</v>
      </c>
      <c r="C8" s="5">
        <v>0.43888888888888888</v>
      </c>
      <c r="D8" s="5">
        <v>0.92708333333333337</v>
      </c>
      <c r="E8" s="4" t="s">
        <v>179</v>
      </c>
      <c r="F8" s="4" t="s">
        <v>183</v>
      </c>
      <c r="G8" s="4" t="s">
        <v>183</v>
      </c>
      <c r="H8" s="4" t="s">
        <v>190</v>
      </c>
      <c r="I8" s="4">
        <v>2</v>
      </c>
      <c r="J8" s="13">
        <f t="shared" si="1"/>
        <v>0.48819444444444449</v>
      </c>
      <c r="K8" s="11" t="str">
        <f t="shared" si="2"/>
        <v>Not Suspect</v>
      </c>
      <c r="L8">
        <f t="shared" si="0"/>
        <v>13</v>
      </c>
      <c r="M8" s="10" t="s">
        <v>21</v>
      </c>
      <c r="N8">
        <v>24</v>
      </c>
    </row>
    <row r="9" spans="1:14" x14ac:dyDescent="0.25">
      <c r="A9" s="7" t="s">
        <v>16</v>
      </c>
      <c r="B9" s="7" t="s">
        <v>66</v>
      </c>
      <c r="C9" s="5" t="s">
        <v>116</v>
      </c>
      <c r="D9" s="5">
        <v>0.95763888888888893</v>
      </c>
      <c r="E9" s="4" t="s">
        <v>182</v>
      </c>
      <c r="F9" s="4" t="s">
        <v>184</v>
      </c>
      <c r="G9" s="4" t="s">
        <v>187</v>
      </c>
      <c r="H9" s="4" t="s">
        <v>190</v>
      </c>
      <c r="I9" s="4">
        <v>2</v>
      </c>
      <c r="J9" s="13">
        <f t="shared" si="1"/>
        <v>0.46527777777777779</v>
      </c>
      <c r="K9" s="11" t="str">
        <f t="shared" si="2"/>
        <v>Not Suspect</v>
      </c>
      <c r="L9">
        <f t="shared" si="0"/>
        <v>13</v>
      </c>
      <c r="M9" s="10" t="s">
        <v>54</v>
      </c>
      <c r="N9">
        <v>9</v>
      </c>
    </row>
    <row r="10" spans="1:14" x14ac:dyDescent="0.25">
      <c r="A10" s="7" t="s">
        <v>17</v>
      </c>
      <c r="B10" s="7" t="s">
        <v>67</v>
      </c>
      <c r="C10" s="5" t="s">
        <v>117</v>
      </c>
      <c r="D10" s="5">
        <v>0.51944444444444449</v>
      </c>
      <c r="E10" s="4" t="s">
        <v>182</v>
      </c>
      <c r="F10" s="4" t="s">
        <v>185</v>
      </c>
      <c r="G10" s="4" t="s">
        <v>188</v>
      </c>
      <c r="H10" s="4" t="s">
        <v>189</v>
      </c>
      <c r="I10" s="4">
        <v>21</v>
      </c>
      <c r="J10" s="13">
        <f t="shared" si="1"/>
        <v>9.8611111111111149E-2</v>
      </c>
      <c r="K10" s="11" t="str">
        <f t="shared" si="2"/>
        <v>Not Suspect</v>
      </c>
      <c r="L10">
        <f t="shared" si="0"/>
        <v>13</v>
      </c>
      <c r="M10" s="10" t="s">
        <v>19</v>
      </c>
      <c r="N10">
        <v>1</v>
      </c>
    </row>
    <row r="11" spans="1:14" x14ac:dyDescent="0.25">
      <c r="A11" s="7" t="s">
        <v>18</v>
      </c>
      <c r="B11" s="7" t="s">
        <v>68</v>
      </c>
      <c r="C11" s="5" t="s">
        <v>118</v>
      </c>
      <c r="D11" s="5">
        <v>0.92986111111111114</v>
      </c>
      <c r="E11" s="4" t="s">
        <v>178</v>
      </c>
      <c r="F11" s="4" t="s">
        <v>184</v>
      </c>
      <c r="G11" s="4" t="s">
        <v>188</v>
      </c>
      <c r="H11" s="4" t="s">
        <v>190</v>
      </c>
      <c r="I11" s="4">
        <v>0</v>
      </c>
      <c r="J11" s="13">
        <f t="shared" si="1"/>
        <v>0.45902777777777781</v>
      </c>
      <c r="K11" s="11" t="str">
        <f t="shared" si="2"/>
        <v>Not Suspect</v>
      </c>
      <c r="L11">
        <f t="shared" si="0"/>
        <v>13</v>
      </c>
      <c r="M11" s="10" t="s">
        <v>30</v>
      </c>
      <c r="N11">
        <v>13</v>
      </c>
    </row>
    <row r="12" spans="1:14" x14ac:dyDescent="0.25">
      <c r="A12" s="7" t="s">
        <v>16</v>
      </c>
      <c r="B12" s="7" t="s">
        <v>66</v>
      </c>
      <c r="C12" s="5" t="s">
        <v>116</v>
      </c>
      <c r="D12" s="5">
        <v>0.95763888888888893</v>
      </c>
      <c r="E12" s="4" t="s">
        <v>182</v>
      </c>
      <c r="F12" s="4" t="s">
        <v>184</v>
      </c>
      <c r="G12" s="4" t="s">
        <v>187</v>
      </c>
      <c r="H12" s="4" t="s">
        <v>190</v>
      </c>
      <c r="I12" s="4">
        <v>2</v>
      </c>
      <c r="J12" s="13">
        <f t="shared" si="1"/>
        <v>0.46527777777777779</v>
      </c>
      <c r="K12" s="11" t="str">
        <f t="shared" si="2"/>
        <v>Not Suspect</v>
      </c>
      <c r="L12">
        <f t="shared" si="0"/>
        <v>13</v>
      </c>
      <c r="M12" s="10" t="s">
        <v>50</v>
      </c>
      <c r="N12">
        <v>25</v>
      </c>
    </row>
    <row r="13" spans="1:14" x14ac:dyDescent="0.25">
      <c r="A13" s="7" t="s">
        <v>19</v>
      </c>
      <c r="B13" s="7" t="s">
        <v>69</v>
      </c>
      <c r="C13" s="5" t="s">
        <v>119</v>
      </c>
      <c r="D13" s="5" t="s">
        <v>162</v>
      </c>
      <c r="E13" s="4" t="s">
        <v>179</v>
      </c>
      <c r="F13" s="4" t="s">
        <v>186</v>
      </c>
      <c r="G13" s="4" t="s">
        <v>188</v>
      </c>
      <c r="H13" s="4" t="s">
        <v>189</v>
      </c>
      <c r="I13" s="4">
        <v>1</v>
      </c>
      <c r="J13" s="13">
        <f t="shared" si="1"/>
        <v>4.1666666666666685E-2</v>
      </c>
      <c r="K13" s="11" t="str">
        <f t="shared" si="2"/>
        <v>Not Suspect</v>
      </c>
      <c r="L13">
        <f t="shared" si="0"/>
        <v>13</v>
      </c>
      <c r="M13" s="10" t="s">
        <v>35</v>
      </c>
      <c r="N13">
        <v>19</v>
      </c>
    </row>
    <row r="14" spans="1:14" x14ac:dyDescent="0.25">
      <c r="A14" s="7" t="s">
        <v>20</v>
      </c>
      <c r="B14" s="7" t="s">
        <v>70</v>
      </c>
      <c r="C14" s="5" t="s">
        <v>120</v>
      </c>
      <c r="D14" s="5" t="s">
        <v>159</v>
      </c>
      <c r="E14" s="4" t="s">
        <v>178</v>
      </c>
      <c r="F14" s="4" t="s">
        <v>186</v>
      </c>
      <c r="G14" s="4" t="s">
        <v>188</v>
      </c>
      <c r="H14" s="4" t="s">
        <v>189</v>
      </c>
      <c r="I14" s="4">
        <v>16</v>
      </c>
      <c r="J14" s="13">
        <f t="shared" si="1"/>
        <v>4.6527777777777779E-2</v>
      </c>
      <c r="K14" s="11" t="str">
        <f t="shared" si="2"/>
        <v>Not Suspect</v>
      </c>
      <c r="L14">
        <f t="shared" si="0"/>
        <v>13</v>
      </c>
      <c r="M14" s="10" t="s">
        <v>12</v>
      </c>
      <c r="N14">
        <v>7</v>
      </c>
    </row>
    <row r="15" spans="1:14" x14ac:dyDescent="0.25">
      <c r="A15" s="7" t="s">
        <v>21</v>
      </c>
      <c r="B15" s="7" t="s">
        <v>71</v>
      </c>
      <c r="C15" s="5" t="s">
        <v>121</v>
      </c>
      <c r="D15" s="5">
        <v>0.50902777777777775</v>
      </c>
      <c r="E15" s="4" t="s">
        <v>179</v>
      </c>
      <c r="F15" s="4" t="s">
        <v>185</v>
      </c>
      <c r="G15" s="4" t="s">
        <v>188</v>
      </c>
      <c r="H15" s="4" t="s">
        <v>189</v>
      </c>
      <c r="I15" s="4">
        <v>24</v>
      </c>
      <c r="J15" s="13">
        <f t="shared" si="1"/>
        <v>0.11388888888888887</v>
      </c>
      <c r="K15" s="11" t="str">
        <f t="shared" si="2"/>
        <v>Not Suspect</v>
      </c>
      <c r="L15">
        <f t="shared" si="0"/>
        <v>13</v>
      </c>
      <c r="M15" s="10" t="s">
        <v>16</v>
      </c>
      <c r="N15">
        <v>4</v>
      </c>
    </row>
    <row r="16" spans="1:14" x14ac:dyDescent="0.25">
      <c r="A16" s="7" t="s">
        <v>22</v>
      </c>
      <c r="B16" s="7" t="s">
        <v>72</v>
      </c>
      <c r="C16" s="5" t="s">
        <v>122</v>
      </c>
      <c r="D16" s="5">
        <v>0.54097222222222219</v>
      </c>
      <c r="E16" s="4" t="s">
        <v>181</v>
      </c>
      <c r="F16" s="4" t="s">
        <v>185</v>
      </c>
      <c r="G16" s="4" t="s">
        <v>188</v>
      </c>
      <c r="H16" s="4" t="s">
        <v>189</v>
      </c>
      <c r="I16" s="4">
        <v>4</v>
      </c>
      <c r="J16" s="13">
        <f t="shared" si="1"/>
        <v>8.4722222222222199E-2</v>
      </c>
      <c r="K16" s="11" t="str">
        <f t="shared" si="2"/>
        <v>Not Suspect</v>
      </c>
      <c r="L16">
        <f t="shared" si="0"/>
        <v>13</v>
      </c>
      <c r="M16" s="10" t="s">
        <v>56</v>
      </c>
      <c r="N16">
        <v>12</v>
      </c>
    </row>
    <row r="17" spans="1:14" x14ac:dyDescent="0.25">
      <c r="A17" s="7" t="s">
        <v>23</v>
      </c>
      <c r="B17" s="7" t="s">
        <v>73</v>
      </c>
      <c r="C17" s="5" t="s">
        <v>123</v>
      </c>
      <c r="D17" s="5" t="s">
        <v>163</v>
      </c>
      <c r="E17" s="4" t="s">
        <v>179</v>
      </c>
      <c r="F17" s="4" t="s">
        <v>186</v>
      </c>
      <c r="G17" s="4" t="s">
        <v>188</v>
      </c>
      <c r="H17" s="4" t="s">
        <v>190</v>
      </c>
      <c r="I17" s="4">
        <v>10</v>
      </c>
      <c r="J17" s="13">
        <f t="shared" si="1"/>
        <v>4.3055555555555569E-2</v>
      </c>
      <c r="K17" s="11" t="str">
        <f t="shared" si="2"/>
        <v>Not Suspect</v>
      </c>
      <c r="L17">
        <f t="shared" si="0"/>
        <v>13</v>
      </c>
      <c r="M17" s="10" t="s">
        <v>29</v>
      </c>
      <c r="N17">
        <v>13</v>
      </c>
    </row>
    <row r="18" spans="1:14" x14ac:dyDescent="0.25">
      <c r="A18" s="7" t="s">
        <v>24</v>
      </c>
      <c r="B18" s="7" t="s">
        <v>74</v>
      </c>
      <c r="C18" s="5" t="s">
        <v>124</v>
      </c>
      <c r="D18" s="5">
        <v>0.5180555555555556</v>
      </c>
      <c r="E18" s="4" t="s">
        <v>180</v>
      </c>
      <c r="F18" s="4" t="s">
        <v>186</v>
      </c>
      <c r="G18" s="4" t="s">
        <v>187</v>
      </c>
      <c r="H18" s="4" t="s">
        <v>190</v>
      </c>
      <c r="I18" s="4">
        <v>10</v>
      </c>
      <c r="J18" s="13">
        <f t="shared" si="1"/>
        <v>8.1250000000000044E-2</v>
      </c>
      <c r="K18" s="11" t="str">
        <f t="shared" si="2"/>
        <v>Not Suspect</v>
      </c>
      <c r="L18">
        <f t="shared" si="0"/>
        <v>13</v>
      </c>
      <c r="M18" s="10" t="s">
        <v>31</v>
      </c>
      <c r="N18">
        <v>3</v>
      </c>
    </row>
    <row r="19" spans="1:14" x14ac:dyDescent="0.25">
      <c r="A19" s="7" t="s">
        <v>25</v>
      </c>
      <c r="B19" s="7" t="s">
        <v>75</v>
      </c>
      <c r="C19" s="5" t="s">
        <v>125</v>
      </c>
      <c r="D19" s="5" t="s">
        <v>164</v>
      </c>
      <c r="E19" s="4" t="s">
        <v>178</v>
      </c>
      <c r="F19" s="4" t="s">
        <v>183</v>
      </c>
      <c r="G19" s="4" t="s">
        <v>188</v>
      </c>
      <c r="H19" s="4" t="s">
        <v>189</v>
      </c>
      <c r="I19" s="15">
        <v>13</v>
      </c>
      <c r="J19" s="13">
        <f t="shared" si="1"/>
        <v>4.9999999999999989E-2</v>
      </c>
      <c r="K19" s="11" t="str">
        <f t="shared" si="2"/>
        <v>Not Suspect</v>
      </c>
      <c r="L19">
        <f t="shared" si="0"/>
        <v>13</v>
      </c>
      <c r="M19" s="10" t="s">
        <v>15</v>
      </c>
      <c r="N19">
        <v>2</v>
      </c>
    </row>
    <row r="20" spans="1:14" x14ac:dyDescent="0.25">
      <c r="A20" s="7" t="s">
        <v>26</v>
      </c>
      <c r="B20" s="7" t="s">
        <v>76</v>
      </c>
      <c r="C20" s="5" t="s">
        <v>126</v>
      </c>
      <c r="D20" s="5" t="s">
        <v>165</v>
      </c>
      <c r="E20" s="4" t="s">
        <v>178</v>
      </c>
      <c r="F20" s="4" t="s">
        <v>185</v>
      </c>
      <c r="G20" s="4" t="s">
        <v>183</v>
      </c>
      <c r="H20" s="4" t="s">
        <v>190</v>
      </c>
      <c r="I20" s="4">
        <v>5</v>
      </c>
      <c r="J20" s="13">
        <f t="shared" si="1"/>
        <v>6.1805555555555558E-2</v>
      </c>
      <c r="K20" s="11" t="str">
        <f t="shared" si="2"/>
        <v>Not Suspect</v>
      </c>
      <c r="L20">
        <f t="shared" si="0"/>
        <v>13</v>
      </c>
      <c r="M20" s="10" t="s">
        <v>52</v>
      </c>
      <c r="N20">
        <v>23</v>
      </c>
    </row>
    <row r="21" spans="1:14" x14ac:dyDescent="0.25">
      <c r="A21" s="7" t="s">
        <v>27</v>
      </c>
      <c r="B21" s="7" t="s">
        <v>77</v>
      </c>
      <c r="C21" s="5" t="s">
        <v>127</v>
      </c>
      <c r="D21" s="5" t="s">
        <v>159</v>
      </c>
      <c r="E21" s="4" t="s">
        <v>179</v>
      </c>
      <c r="F21" s="4" t="s">
        <v>184</v>
      </c>
      <c r="G21" s="4" t="s">
        <v>183</v>
      </c>
      <c r="H21" s="4" t="s">
        <v>190</v>
      </c>
      <c r="I21" s="4">
        <v>6</v>
      </c>
      <c r="J21" s="13">
        <f t="shared" si="1"/>
        <v>4.3750000000000011E-2</v>
      </c>
      <c r="K21" s="11" t="str">
        <f t="shared" si="2"/>
        <v>Not Suspect</v>
      </c>
      <c r="L21">
        <f t="shared" si="0"/>
        <v>13</v>
      </c>
      <c r="M21" s="10" t="s">
        <v>9</v>
      </c>
      <c r="N21">
        <v>4</v>
      </c>
    </row>
    <row r="22" spans="1:14" x14ac:dyDescent="0.25">
      <c r="A22" s="7" t="s">
        <v>28</v>
      </c>
      <c r="B22" s="7" t="s">
        <v>78</v>
      </c>
      <c r="C22" s="5" t="s">
        <v>128</v>
      </c>
      <c r="D22" s="5">
        <v>0.96319444444444446</v>
      </c>
      <c r="E22" s="4" t="s">
        <v>181</v>
      </c>
      <c r="F22" s="4" t="s">
        <v>184</v>
      </c>
      <c r="G22" s="15" t="s">
        <v>197</v>
      </c>
      <c r="H22" s="4" t="s">
        <v>189</v>
      </c>
      <c r="I22" s="4">
        <v>25</v>
      </c>
      <c r="J22" s="13">
        <f t="shared" si="1"/>
        <v>0.47500000000000003</v>
      </c>
      <c r="K22" s="11" t="str">
        <f t="shared" si="2"/>
        <v>Not Suspect</v>
      </c>
      <c r="L22">
        <f t="shared" si="0"/>
        <v>13</v>
      </c>
      <c r="M22" s="10" t="s">
        <v>53</v>
      </c>
      <c r="N22">
        <v>19</v>
      </c>
    </row>
    <row r="23" spans="1:14" x14ac:dyDescent="0.25">
      <c r="A23" s="7" t="s">
        <v>29</v>
      </c>
      <c r="B23" s="7" t="s">
        <v>79</v>
      </c>
      <c r="C23" s="5" t="s">
        <v>126</v>
      </c>
      <c r="D23" s="5" t="s">
        <v>166</v>
      </c>
      <c r="E23" s="4" t="s">
        <v>181</v>
      </c>
      <c r="F23" s="4" t="s">
        <v>185</v>
      </c>
      <c r="G23" s="4" t="s">
        <v>183</v>
      </c>
      <c r="H23" s="4" t="s">
        <v>189</v>
      </c>
      <c r="I23" s="15">
        <v>13</v>
      </c>
      <c r="J23" s="13">
        <f t="shared" si="1"/>
        <v>6.7361111111111094E-2</v>
      </c>
      <c r="K23" s="11" t="str">
        <f t="shared" si="2"/>
        <v>Not Suspect</v>
      </c>
      <c r="L23">
        <f t="shared" si="0"/>
        <v>13</v>
      </c>
      <c r="M23" s="10" t="s">
        <v>44</v>
      </c>
      <c r="N23">
        <v>13</v>
      </c>
    </row>
    <row r="24" spans="1:14" x14ac:dyDescent="0.25">
      <c r="A24" s="7" t="s">
        <v>30</v>
      </c>
      <c r="B24" s="7" t="s">
        <v>80</v>
      </c>
      <c r="C24" s="5" t="s">
        <v>129</v>
      </c>
      <c r="D24" s="5">
        <v>0.95763888888888893</v>
      </c>
      <c r="E24" s="4" t="s">
        <v>180</v>
      </c>
      <c r="F24" s="4" t="s">
        <v>185</v>
      </c>
      <c r="G24" s="4" t="s">
        <v>187</v>
      </c>
      <c r="H24" s="4" t="s">
        <v>190</v>
      </c>
      <c r="I24" s="4">
        <v>13</v>
      </c>
      <c r="J24" s="13">
        <f t="shared" si="1"/>
        <v>0.48888888888888893</v>
      </c>
      <c r="K24" s="11" t="str">
        <f t="shared" si="2"/>
        <v>Not Suspect</v>
      </c>
      <c r="L24">
        <f t="shared" si="0"/>
        <v>13</v>
      </c>
      <c r="M24" s="10" t="s">
        <v>51</v>
      </c>
      <c r="N24">
        <v>25</v>
      </c>
    </row>
    <row r="25" spans="1:14" x14ac:dyDescent="0.25">
      <c r="A25" s="7" t="s">
        <v>31</v>
      </c>
      <c r="B25" s="7" t="s">
        <v>81</v>
      </c>
      <c r="C25" s="5" t="s">
        <v>130</v>
      </c>
      <c r="D25" s="5" t="s">
        <v>167</v>
      </c>
      <c r="E25" s="4" t="s">
        <v>182</v>
      </c>
      <c r="F25" s="4" t="s">
        <v>183</v>
      </c>
      <c r="G25" s="4" t="s">
        <v>183</v>
      </c>
      <c r="H25" s="4" t="s">
        <v>190</v>
      </c>
      <c r="I25" s="4">
        <v>3</v>
      </c>
      <c r="J25" s="13">
        <f t="shared" si="1"/>
        <v>1.1111111111111072E-2</v>
      </c>
      <c r="K25" s="11" t="str">
        <f t="shared" si="2"/>
        <v>Not Suspect</v>
      </c>
      <c r="L25">
        <f t="shared" si="0"/>
        <v>14</v>
      </c>
      <c r="M25" s="10" t="s">
        <v>48</v>
      </c>
      <c r="N25">
        <v>2</v>
      </c>
    </row>
    <row r="26" spans="1:14" x14ac:dyDescent="0.25">
      <c r="A26" s="7" t="s">
        <v>32</v>
      </c>
      <c r="B26" s="7" t="s">
        <v>82</v>
      </c>
      <c r="C26" s="5" t="s">
        <v>131</v>
      </c>
      <c r="D26" s="5">
        <v>0.93611111111111112</v>
      </c>
      <c r="E26" s="4" t="s">
        <v>181</v>
      </c>
      <c r="F26" s="4" t="s">
        <v>186</v>
      </c>
      <c r="G26" s="4" t="s">
        <v>183</v>
      </c>
      <c r="H26" s="4" t="s">
        <v>189</v>
      </c>
      <c r="I26" s="15">
        <v>13</v>
      </c>
      <c r="J26" s="13">
        <f t="shared" si="1"/>
        <v>0.48888888888888887</v>
      </c>
      <c r="K26" s="11" t="str">
        <f t="shared" si="2"/>
        <v>Not Suspect</v>
      </c>
      <c r="L26">
        <f t="shared" si="0"/>
        <v>15</v>
      </c>
      <c r="M26" s="10" t="s">
        <v>25</v>
      </c>
      <c r="N26">
        <v>13</v>
      </c>
    </row>
    <row r="27" spans="1:14" x14ac:dyDescent="0.25">
      <c r="A27" s="7" t="s">
        <v>33</v>
      </c>
      <c r="B27" s="7" t="s">
        <v>83</v>
      </c>
      <c r="C27" s="5" t="s">
        <v>132</v>
      </c>
      <c r="D27" s="5" t="s">
        <v>168</v>
      </c>
      <c r="E27" s="4" t="s">
        <v>179</v>
      </c>
      <c r="F27" s="4" t="s">
        <v>184</v>
      </c>
      <c r="G27" s="4" t="s">
        <v>188</v>
      </c>
      <c r="H27" s="4" t="s">
        <v>190</v>
      </c>
      <c r="I27" s="4">
        <v>5</v>
      </c>
      <c r="J27" s="13">
        <f t="shared" si="1"/>
        <v>1.0416666666666685E-2</v>
      </c>
      <c r="K27" s="11" t="str">
        <f t="shared" si="2"/>
        <v>Not Suspect</v>
      </c>
      <c r="L27">
        <f t="shared" si="0"/>
        <v>15</v>
      </c>
      <c r="M27" s="10" t="s">
        <v>34</v>
      </c>
      <c r="N27">
        <v>15</v>
      </c>
    </row>
    <row r="28" spans="1:14" x14ac:dyDescent="0.25">
      <c r="A28" s="7" t="s">
        <v>34</v>
      </c>
      <c r="B28" s="7" t="s">
        <v>84</v>
      </c>
      <c r="C28" s="5" t="s">
        <v>133</v>
      </c>
      <c r="D28" s="5">
        <v>0.50694444444444442</v>
      </c>
      <c r="E28" s="4" t="s">
        <v>182</v>
      </c>
      <c r="F28" s="15" t="s">
        <v>197</v>
      </c>
      <c r="G28" s="4" t="s">
        <v>188</v>
      </c>
      <c r="H28" s="4" t="s">
        <v>189</v>
      </c>
      <c r="I28" s="4">
        <v>15</v>
      </c>
      <c r="J28" s="13">
        <f t="shared" si="1"/>
        <v>4.5833333333333282E-2</v>
      </c>
      <c r="K28" s="11" t="str">
        <f t="shared" si="2"/>
        <v>Not Suspect</v>
      </c>
      <c r="L28">
        <f t="shared" si="0"/>
        <v>15</v>
      </c>
      <c r="M28" s="10" t="s">
        <v>20</v>
      </c>
      <c r="N28">
        <v>16</v>
      </c>
    </row>
    <row r="29" spans="1:14" x14ac:dyDescent="0.25">
      <c r="A29" s="7" t="s">
        <v>35</v>
      </c>
      <c r="B29" s="7" t="s">
        <v>85</v>
      </c>
      <c r="C29" s="5" t="s">
        <v>134</v>
      </c>
      <c r="D29" s="5">
        <v>0.92083333333333328</v>
      </c>
      <c r="E29" s="4" t="s">
        <v>179</v>
      </c>
      <c r="F29" s="4" t="s">
        <v>186</v>
      </c>
      <c r="G29" s="4" t="s">
        <v>187</v>
      </c>
      <c r="H29" s="4" t="s">
        <v>190</v>
      </c>
      <c r="I29" s="4">
        <v>19</v>
      </c>
      <c r="J29" s="13">
        <f t="shared" si="1"/>
        <v>0.46111111111111108</v>
      </c>
      <c r="K29" s="11" t="str">
        <f t="shared" si="2"/>
        <v>Not Suspect</v>
      </c>
      <c r="L29">
        <f t="shared" si="0"/>
        <v>15.5</v>
      </c>
      <c r="M29" s="10" t="s">
        <v>38</v>
      </c>
      <c r="N29">
        <v>21</v>
      </c>
    </row>
    <row r="30" spans="1:14" x14ac:dyDescent="0.25">
      <c r="A30" s="7" t="s">
        <v>36</v>
      </c>
      <c r="B30" s="7" t="s">
        <v>86</v>
      </c>
      <c r="C30" s="5" t="s">
        <v>135</v>
      </c>
      <c r="D30" s="5" t="s">
        <v>169</v>
      </c>
      <c r="E30" s="4" t="s">
        <v>182</v>
      </c>
      <c r="F30" s="4" t="s">
        <v>184</v>
      </c>
      <c r="G30" s="4" t="s">
        <v>187</v>
      </c>
      <c r="H30" s="4" t="s">
        <v>189</v>
      </c>
      <c r="I30" s="4">
        <v>24</v>
      </c>
      <c r="J30" s="13">
        <f t="shared" si="1"/>
        <v>4.3750000000000011E-2</v>
      </c>
      <c r="K30" s="11" t="str">
        <f t="shared" si="2"/>
        <v>Not Suspect</v>
      </c>
      <c r="L30">
        <f t="shared" si="0"/>
        <v>15</v>
      </c>
      <c r="M30" s="10" t="s">
        <v>57</v>
      </c>
      <c r="N30">
        <v>13</v>
      </c>
    </row>
    <row r="31" spans="1:14" x14ac:dyDescent="0.25">
      <c r="A31" s="7" t="s">
        <v>37</v>
      </c>
      <c r="B31" s="7" t="s">
        <v>87</v>
      </c>
      <c r="C31" s="5" t="s">
        <v>136</v>
      </c>
      <c r="D31" s="5" t="s">
        <v>170</v>
      </c>
      <c r="E31" s="4" t="s">
        <v>182</v>
      </c>
      <c r="F31" s="4" t="s">
        <v>184</v>
      </c>
      <c r="G31" s="4" t="s">
        <v>187</v>
      </c>
      <c r="H31" s="4" t="s">
        <v>190</v>
      </c>
      <c r="I31" s="4">
        <v>16</v>
      </c>
      <c r="J31" s="13">
        <f t="shared" si="1"/>
        <v>9.5833333333333326E-2</v>
      </c>
      <c r="K31" s="11" t="str">
        <f t="shared" si="2"/>
        <v>Not Suspect</v>
      </c>
      <c r="L31">
        <f t="shared" si="0"/>
        <v>14</v>
      </c>
      <c r="M31" s="10" t="s">
        <v>41</v>
      </c>
      <c r="N31">
        <v>13</v>
      </c>
    </row>
    <row r="32" spans="1:14" x14ac:dyDescent="0.25">
      <c r="A32" s="7" t="s">
        <v>38</v>
      </c>
      <c r="B32" s="7" t="s">
        <v>88</v>
      </c>
      <c r="C32" s="5" t="s">
        <v>137</v>
      </c>
      <c r="D32" s="5" t="s">
        <v>171</v>
      </c>
      <c r="E32" s="4" t="s">
        <v>182</v>
      </c>
      <c r="F32" s="4" t="s">
        <v>184</v>
      </c>
      <c r="G32" s="4" t="s">
        <v>187</v>
      </c>
      <c r="H32" s="4" t="s">
        <v>190</v>
      </c>
      <c r="I32" s="4">
        <v>21</v>
      </c>
      <c r="J32" s="13">
        <f t="shared" si="1"/>
        <v>5.8333333333333348E-2</v>
      </c>
      <c r="K32" s="11" t="str">
        <f t="shared" si="2"/>
        <v>Not Suspect</v>
      </c>
      <c r="L32">
        <f t="shared" si="0"/>
        <v>13</v>
      </c>
      <c r="M32" s="10" t="s">
        <v>32</v>
      </c>
      <c r="N32">
        <v>26</v>
      </c>
    </row>
    <row r="33" spans="1:14" x14ac:dyDescent="0.25">
      <c r="A33" s="7" t="s">
        <v>39</v>
      </c>
      <c r="B33" s="7" t="s">
        <v>89</v>
      </c>
      <c r="C33" s="5" t="s">
        <v>138</v>
      </c>
      <c r="D33" s="5" t="s">
        <v>158</v>
      </c>
      <c r="E33" s="4" t="s">
        <v>180</v>
      </c>
      <c r="F33" s="15" t="s">
        <v>197</v>
      </c>
      <c r="G33" s="4" t="s">
        <v>188</v>
      </c>
      <c r="H33" s="4" t="s">
        <v>189</v>
      </c>
      <c r="I33" s="4">
        <v>16</v>
      </c>
      <c r="J33" s="13">
        <f t="shared" si="1"/>
        <v>1.4583333333333337E-2</v>
      </c>
      <c r="K33" s="11" t="str">
        <f t="shared" si="2"/>
        <v>Not Suspect</v>
      </c>
      <c r="L33">
        <f t="shared" si="0"/>
        <v>13</v>
      </c>
      <c r="M33" s="10" t="s">
        <v>39</v>
      </c>
      <c r="N33">
        <v>16</v>
      </c>
    </row>
    <row r="34" spans="1:14" x14ac:dyDescent="0.25">
      <c r="A34" s="7" t="s">
        <v>40</v>
      </c>
      <c r="B34" s="7" t="s">
        <v>90</v>
      </c>
      <c r="C34" s="5" t="s">
        <v>139</v>
      </c>
      <c r="D34" s="5" t="s">
        <v>172</v>
      </c>
      <c r="E34" s="4" t="s">
        <v>178</v>
      </c>
      <c r="F34" s="4" t="s">
        <v>185</v>
      </c>
      <c r="G34" s="4" t="s">
        <v>183</v>
      </c>
      <c r="H34" s="4" t="s">
        <v>190</v>
      </c>
      <c r="I34" s="4">
        <v>24</v>
      </c>
      <c r="J34" s="13">
        <f t="shared" si="1"/>
        <v>3.2638888888888939E-2</v>
      </c>
      <c r="K34" s="11" t="str">
        <f t="shared" si="2"/>
        <v>Not Suspect</v>
      </c>
      <c r="L34">
        <f t="shared" si="0"/>
        <v>13</v>
      </c>
      <c r="M34" s="10" t="s">
        <v>18</v>
      </c>
      <c r="N34">
        <v>0</v>
      </c>
    </row>
    <row r="35" spans="1:14" x14ac:dyDescent="0.25">
      <c r="A35" s="7" t="s">
        <v>41</v>
      </c>
      <c r="B35" s="7" t="s">
        <v>91</v>
      </c>
      <c r="C35" s="5" t="s">
        <v>140</v>
      </c>
      <c r="D35" s="5">
        <v>0.52847222222222223</v>
      </c>
      <c r="E35" s="4" t="s">
        <v>178</v>
      </c>
      <c r="F35" s="4" t="s">
        <v>185</v>
      </c>
      <c r="G35" s="4" t="s">
        <v>188</v>
      </c>
      <c r="H35" s="4" t="s">
        <v>190</v>
      </c>
      <c r="I35" s="15">
        <v>13</v>
      </c>
      <c r="J35" s="13">
        <f t="shared" si="1"/>
        <v>9.0972222222222232E-2</v>
      </c>
      <c r="K35" s="11" t="str">
        <f t="shared" si="2"/>
        <v>Not Suspect</v>
      </c>
      <c r="L35">
        <f t="shared" si="0"/>
        <v>13</v>
      </c>
      <c r="M35" s="10" t="s">
        <v>27</v>
      </c>
      <c r="N35">
        <v>6</v>
      </c>
    </row>
    <row r="36" spans="1:14" x14ac:dyDescent="0.25">
      <c r="A36" s="7" t="s">
        <v>42</v>
      </c>
      <c r="B36" s="7" t="s">
        <v>92</v>
      </c>
      <c r="C36" s="5" t="s">
        <v>141</v>
      </c>
      <c r="D36" s="5" t="s">
        <v>173</v>
      </c>
      <c r="E36" s="4" t="s">
        <v>181</v>
      </c>
      <c r="F36" s="4" t="s">
        <v>184</v>
      </c>
      <c r="G36" s="15" t="s">
        <v>197</v>
      </c>
      <c r="H36" s="4" t="s">
        <v>189</v>
      </c>
      <c r="I36" s="4">
        <v>17</v>
      </c>
      <c r="J36" s="13">
        <f t="shared" si="1"/>
        <v>2.0138888888888873E-2</v>
      </c>
      <c r="K36" s="11" t="str">
        <f t="shared" si="2"/>
        <v>Not Suspect</v>
      </c>
      <c r="L36">
        <f t="shared" si="0"/>
        <v>13</v>
      </c>
      <c r="M36" s="10" t="s">
        <v>22</v>
      </c>
      <c r="N36">
        <v>4</v>
      </c>
    </row>
    <row r="37" spans="1:14" x14ac:dyDescent="0.25">
      <c r="A37" s="7" t="s">
        <v>43</v>
      </c>
      <c r="B37" s="7" t="s">
        <v>93</v>
      </c>
      <c r="C37" s="5" t="s">
        <v>142</v>
      </c>
      <c r="D37" s="5">
        <v>0.54027777777777775</v>
      </c>
      <c r="E37" s="4" t="s">
        <v>181</v>
      </c>
      <c r="F37" s="15" t="s">
        <v>197</v>
      </c>
      <c r="G37" s="4" t="s">
        <v>183</v>
      </c>
      <c r="H37" s="4" t="s">
        <v>189</v>
      </c>
      <c r="I37" s="4">
        <v>13</v>
      </c>
      <c r="J37" s="13">
        <f t="shared" si="1"/>
        <v>0.11874999999999997</v>
      </c>
      <c r="K37" s="11" t="str">
        <f t="shared" si="2"/>
        <v>Not Suspect</v>
      </c>
      <c r="L37">
        <f t="shared" si="0"/>
        <v>13</v>
      </c>
      <c r="M37" s="10" t="s">
        <v>47</v>
      </c>
      <c r="N37">
        <v>15</v>
      </c>
    </row>
    <row r="38" spans="1:14" x14ac:dyDescent="0.25">
      <c r="A38" s="7" t="s">
        <v>44</v>
      </c>
      <c r="B38" s="7" t="s">
        <v>94</v>
      </c>
      <c r="C38" s="5" t="s">
        <v>143</v>
      </c>
      <c r="D38" s="5">
        <v>0.53263888888888888</v>
      </c>
      <c r="E38" s="4" t="s">
        <v>181</v>
      </c>
      <c r="F38" s="4" t="s">
        <v>186</v>
      </c>
      <c r="G38" s="4" t="s">
        <v>187</v>
      </c>
      <c r="H38" s="4" t="s">
        <v>190</v>
      </c>
      <c r="I38" s="15">
        <v>13</v>
      </c>
      <c r="J38" s="13">
        <f t="shared" si="1"/>
        <v>0.14374999999999999</v>
      </c>
      <c r="K38" s="11" t="str">
        <f t="shared" si="2"/>
        <v>Not Suspect</v>
      </c>
      <c r="L38">
        <f t="shared" si="0"/>
        <v>13</v>
      </c>
      <c r="M38" s="10" t="s">
        <v>33</v>
      </c>
      <c r="N38">
        <v>5</v>
      </c>
    </row>
    <row r="39" spans="1:14" x14ac:dyDescent="0.25">
      <c r="A39" s="7" t="s">
        <v>45</v>
      </c>
      <c r="B39" s="7" t="s">
        <v>95</v>
      </c>
      <c r="C39" s="5" t="s">
        <v>144</v>
      </c>
      <c r="D39" s="5" t="s">
        <v>154</v>
      </c>
      <c r="E39" s="4" t="s">
        <v>178</v>
      </c>
      <c r="F39" s="15" t="s">
        <v>197</v>
      </c>
      <c r="G39" s="4" t="s">
        <v>183</v>
      </c>
      <c r="H39" s="4" t="s">
        <v>189</v>
      </c>
      <c r="I39" s="4">
        <v>20</v>
      </c>
      <c r="J39" s="13">
        <f t="shared" si="1"/>
        <v>2.9861111111111116E-2</v>
      </c>
      <c r="K39" s="11" t="str">
        <f t="shared" si="2"/>
        <v>Not Suspect</v>
      </c>
      <c r="L39">
        <f t="shared" si="0"/>
        <v>13</v>
      </c>
      <c r="M39" s="10" t="s">
        <v>24</v>
      </c>
      <c r="N39">
        <v>10</v>
      </c>
    </row>
    <row r="40" spans="1:14" x14ac:dyDescent="0.25">
      <c r="A40" s="7" t="s">
        <v>46</v>
      </c>
      <c r="B40" s="7" t="s">
        <v>96</v>
      </c>
      <c r="C40" s="5" t="s">
        <v>145</v>
      </c>
      <c r="D40" s="5">
        <v>0.95138888888888884</v>
      </c>
      <c r="E40" s="4" t="s">
        <v>181</v>
      </c>
      <c r="F40" s="4" t="s">
        <v>183</v>
      </c>
      <c r="G40" s="4" t="s">
        <v>187</v>
      </c>
      <c r="H40" s="4" t="s">
        <v>190</v>
      </c>
      <c r="I40" s="4">
        <v>10</v>
      </c>
      <c r="J40" s="13">
        <f t="shared" si="1"/>
        <v>0.47777777777777775</v>
      </c>
      <c r="K40" s="11" t="str">
        <f t="shared" si="2"/>
        <v>Not Suspect</v>
      </c>
      <c r="L40">
        <f t="shared" si="0"/>
        <v>13</v>
      </c>
      <c r="M40" s="10" t="s">
        <v>58</v>
      </c>
      <c r="N40">
        <v>7</v>
      </c>
    </row>
    <row r="41" spans="1:14" x14ac:dyDescent="0.25">
      <c r="A41" s="7" t="s">
        <v>47</v>
      </c>
      <c r="B41" s="7" t="s">
        <v>97</v>
      </c>
      <c r="C41" s="5" t="s">
        <v>146</v>
      </c>
      <c r="D41" s="5">
        <v>0.52569444444444446</v>
      </c>
      <c r="E41" s="4" t="s">
        <v>178</v>
      </c>
      <c r="F41" s="4" t="s">
        <v>186</v>
      </c>
      <c r="G41" s="4" t="s">
        <v>188</v>
      </c>
      <c r="H41" s="4" t="s">
        <v>189</v>
      </c>
      <c r="I41" s="4">
        <v>15</v>
      </c>
      <c r="J41" s="13">
        <f t="shared" si="1"/>
        <v>3.5416666666666707E-2</v>
      </c>
      <c r="K41" s="11" t="str">
        <f t="shared" si="2"/>
        <v>Not Suspect</v>
      </c>
      <c r="L41">
        <f t="shared" si="0"/>
        <v>13</v>
      </c>
      <c r="M41" s="10" t="s">
        <v>40</v>
      </c>
      <c r="N41">
        <v>48</v>
      </c>
    </row>
    <row r="42" spans="1:14" x14ac:dyDescent="0.25">
      <c r="A42" s="7" t="s">
        <v>48</v>
      </c>
      <c r="B42" s="7" t="s">
        <v>98</v>
      </c>
      <c r="C42" s="5" t="s">
        <v>147</v>
      </c>
      <c r="D42" s="5">
        <v>0.50694444444444442</v>
      </c>
      <c r="E42" s="4" t="s">
        <v>180</v>
      </c>
      <c r="F42" s="4" t="s">
        <v>183</v>
      </c>
      <c r="G42" s="4" t="s">
        <v>187</v>
      </c>
      <c r="H42" s="4" t="s">
        <v>189</v>
      </c>
      <c r="I42" s="4">
        <v>2</v>
      </c>
      <c r="J42" s="13">
        <f t="shared" si="1"/>
        <v>8.3333333333333315E-2</v>
      </c>
      <c r="K42" s="11" t="str">
        <f t="shared" si="2"/>
        <v>Not Suspect</v>
      </c>
      <c r="L42">
        <f t="shared" si="0"/>
        <v>13</v>
      </c>
      <c r="M42" s="10" t="s">
        <v>46</v>
      </c>
      <c r="N42">
        <v>10</v>
      </c>
    </row>
    <row r="43" spans="1:14" x14ac:dyDescent="0.25">
      <c r="A43" s="7" t="s">
        <v>49</v>
      </c>
      <c r="B43" s="7" t="s">
        <v>99</v>
      </c>
      <c r="C43" s="5" t="s">
        <v>148</v>
      </c>
      <c r="D43" s="5" t="s">
        <v>160</v>
      </c>
      <c r="E43" s="4" t="s">
        <v>178</v>
      </c>
      <c r="F43" s="4" t="s">
        <v>185</v>
      </c>
      <c r="G43" s="4" t="s">
        <v>183</v>
      </c>
      <c r="H43" s="4" t="s">
        <v>190</v>
      </c>
      <c r="I43" s="15">
        <v>13</v>
      </c>
      <c r="J43" s="13">
        <f t="shared" si="1"/>
        <v>4.3055555555555569E-2</v>
      </c>
      <c r="K43" s="11" t="str">
        <f t="shared" si="2"/>
        <v>Not Suspect</v>
      </c>
      <c r="L43">
        <f t="shared" si="0"/>
        <v>13</v>
      </c>
      <c r="M43" s="10" t="s">
        <v>10</v>
      </c>
      <c r="N43">
        <v>13</v>
      </c>
    </row>
    <row r="44" spans="1:14" x14ac:dyDescent="0.25">
      <c r="A44" s="7" t="s">
        <v>50</v>
      </c>
      <c r="B44" s="7" t="s">
        <v>100</v>
      </c>
      <c r="C44" s="5" t="s">
        <v>149</v>
      </c>
      <c r="D44" s="5">
        <v>0.96458333333333335</v>
      </c>
      <c r="E44" s="4" t="s">
        <v>182</v>
      </c>
      <c r="F44" s="4" t="s">
        <v>185</v>
      </c>
      <c r="G44" s="4" t="s">
        <v>183</v>
      </c>
      <c r="H44" s="4" t="s">
        <v>190</v>
      </c>
      <c r="I44" s="4">
        <v>25</v>
      </c>
      <c r="J44" s="13">
        <f t="shared" si="1"/>
        <v>0.46944444444444444</v>
      </c>
      <c r="K44" s="11" t="str">
        <f t="shared" si="2"/>
        <v>Not Suspect</v>
      </c>
      <c r="L44">
        <f t="shared" si="0"/>
        <v>13</v>
      </c>
      <c r="M44" s="10" t="s">
        <v>55</v>
      </c>
      <c r="N44">
        <v>13</v>
      </c>
    </row>
    <row r="45" spans="1:14" x14ac:dyDescent="0.25">
      <c r="A45" s="7" t="s">
        <v>51</v>
      </c>
      <c r="B45" s="7" t="s">
        <v>101</v>
      </c>
      <c r="C45" s="5" t="s">
        <v>150</v>
      </c>
      <c r="D45" s="5" t="s">
        <v>161</v>
      </c>
      <c r="E45" s="4" t="s">
        <v>181</v>
      </c>
      <c r="F45" s="4" t="s">
        <v>184</v>
      </c>
      <c r="G45" s="4" t="s">
        <v>187</v>
      </c>
      <c r="H45" s="4" t="s">
        <v>190</v>
      </c>
      <c r="I45" s="4">
        <v>25</v>
      </c>
      <c r="J45" s="13">
        <f t="shared" si="1"/>
        <v>7.4305555555555514E-2</v>
      </c>
      <c r="K45" s="11" t="str">
        <f t="shared" si="2"/>
        <v>Not Suspect</v>
      </c>
      <c r="L45">
        <f t="shared" si="0"/>
        <v>13</v>
      </c>
      <c r="M45" s="10" t="s">
        <v>13</v>
      </c>
      <c r="N45">
        <v>2</v>
      </c>
    </row>
    <row r="46" spans="1:14" x14ac:dyDescent="0.25">
      <c r="A46" s="7" t="s">
        <v>52</v>
      </c>
      <c r="B46" s="7" t="s">
        <v>102</v>
      </c>
      <c r="C46" s="5" t="s">
        <v>151</v>
      </c>
      <c r="D46" s="5">
        <v>0.99375000000000002</v>
      </c>
      <c r="E46" s="4" t="s">
        <v>179</v>
      </c>
      <c r="F46" s="4" t="s">
        <v>185</v>
      </c>
      <c r="G46" s="4" t="s">
        <v>183</v>
      </c>
      <c r="H46" s="4" t="s">
        <v>189</v>
      </c>
      <c r="I46" s="4">
        <v>23</v>
      </c>
      <c r="J46" s="13">
        <f t="shared" si="1"/>
        <v>0.49652777777777779</v>
      </c>
      <c r="K46" s="11" t="str">
        <f t="shared" si="2"/>
        <v>Not Suspect</v>
      </c>
      <c r="L46">
        <f t="shared" si="0"/>
        <v>13</v>
      </c>
      <c r="M46" s="10" t="s">
        <v>26</v>
      </c>
      <c r="N46">
        <v>5</v>
      </c>
    </row>
    <row r="47" spans="1:14" x14ac:dyDescent="0.25">
      <c r="A47" s="7" t="s">
        <v>32</v>
      </c>
      <c r="B47" s="7" t="s">
        <v>82</v>
      </c>
      <c r="C47" s="5" t="s">
        <v>131</v>
      </c>
      <c r="D47" s="5">
        <v>0.93611111111111112</v>
      </c>
      <c r="E47" s="4" t="s">
        <v>181</v>
      </c>
      <c r="F47" s="4" t="s">
        <v>186</v>
      </c>
      <c r="G47" s="4" t="s">
        <v>183</v>
      </c>
      <c r="H47" s="4" t="s">
        <v>189</v>
      </c>
      <c r="I47" s="15">
        <v>13</v>
      </c>
      <c r="J47" s="13">
        <f t="shared" si="1"/>
        <v>0.48888888888888887</v>
      </c>
      <c r="K47" s="11" t="str">
        <f t="shared" si="2"/>
        <v>Not Suspect</v>
      </c>
      <c r="L47">
        <f t="shared" si="0"/>
        <v>13</v>
      </c>
      <c r="M47" s="10" t="s">
        <v>42</v>
      </c>
      <c r="N47">
        <v>17</v>
      </c>
    </row>
    <row r="48" spans="1:14" x14ac:dyDescent="0.25">
      <c r="A48" s="7" t="s">
        <v>53</v>
      </c>
      <c r="B48" s="7" t="s">
        <v>103</v>
      </c>
      <c r="C48" s="5" t="s">
        <v>152</v>
      </c>
      <c r="D48" s="5" t="s">
        <v>174</v>
      </c>
      <c r="E48" s="4" t="s">
        <v>181</v>
      </c>
      <c r="F48" s="4" t="s">
        <v>185</v>
      </c>
      <c r="G48" s="15" t="s">
        <v>197</v>
      </c>
      <c r="H48" s="4" t="s">
        <v>189</v>
      </c>
      <c r="I48" s="4">
        <v>19</v>
      </c>
      <c r="J48" s="13">
        <f t="shared" si="1"/>
        <v>1.3194444444444453E-2</v>
      </c>
      <c r="K48" s="11" t="str">
        <f t="shared" si="2"/>
        <v>Not Suspect</v>
      </c>
      <c r="L48">
        <f t="shared" si="0"/>
        <v>13</v>
      </c>
      <c r="M48" s="10" t="s">
        <v>37</v>
      </c>
      <c r="N48">
        <v>16</v>
      </c>
    </row>
    <row r="49" spans="1:14" x14ac:dyDescent="0.25">
      <c r="A49" s="7" t="s">
        <v>54</v>
      </c>
      <c r="B49" s="7" t="s">
        <v>104</v>
      </c>
      <c r="C49" s="5" t="s">
        <v>153</v>
      </c>
      <c r="D49" s="5">
        <v>0.93541666666666667</v>
      </c>
      <c r="E49" s="4" t="s">
        <v>182</v>
      </c>
      <c r="F49" s="4" t="s">
        <v>185</v>
      </c>
      <c r="G49" s="4" t="s">
        <v>188</v>
      </c>
      <c r="H49" s="4" t="s">
        <v>190</v>
      </c>
      <c r="I49" s="4">
        <v>9</v>
      </c>
      <c r="J49" s="13">
        <f t="shared" si="1"/>
        <v>0.49305555555555558</v>
      </c>
      <c r="K49" s="11" t="str">
        <f t="shared" si="2"/>
        <v>Not Suspect</v>
      </c>
      <c r="L49">
        <f t="shared" si="0"/>
        <v>12.5</v>
      </c>
      <c r="M49" s="10" t="s">
        <v>11</v>
      </c>
      <c r="N49">
        <v>20</v>
      </c>
    </row>
    <row r="50" spans="1:14" x14ac:dyDescent="0.25">
      <c r="A50" s="7" t="s">
        <v>55</v>
      </c>
      <c r="B50" s="7" t="s">
        <v>105</v>
      </c>
      <c r="C50" s="5" t="s">
        <v>152</v>
      </c>
      <c r="D50" s="5">
        <v>0.9375</v>
      </c>
      <c r="E50" s="4" t="s">
        <v>182</v>
      </c>
      <c r="F50" s="4" t="s">
        <v>185</v>
      </c>
      <c r="G50" s="15" t="s">
        <v>197</v>
      </c>
      <c r="H50" s="4" t="s">
        <v>190</v>
      </c>
      <c r="I50" s="15">
        <v>13</v>
      </c>
      <c r="J50" s="13">
        <f t="shared" si="1"/>
        <v>0.49861111111111112</v>
      </c>
      <c r="K50" s="11" t="str">
        <f t="shared" si="2"/>
        <v>Not Suspect</v>
      </c>
      <c r="L50">
        <f t="shared" si="0"/>
        <v>13</v>
      </c>
      <c r="M50" s="10" t="s">
        <v>49</v>
      </c>
      <c r="N50">
        <v>13</v>
      </c>
    </row>
    <row r="51" spans="1:14" x14ac:dyDescent="0.25">
      <c r="A51" s="7" t="s">
        <v>56</v>
      </c>
      <c r="B51" s="7" t="s">
        <v>106</v>
      </c>
      <c r="C51" s="5" t="s">
        <v>154</v>
      </c>
      <c r="D51" s="5" t="s">
        <v>175</v>
      </c>
      <c r="E51" s="4" t="s">
        <v>180</v>
      </c>
      <c r="F51" s="4" t="s">
        <v>184</v>
      </c>
      <c r="G51" s="4" t="s">
        <v>183</v>
      </c>
      <c r="H51" s="4" t="s">
        <v>189</v>
      </c>
      <c r="I51" s="4">
        <v>12</v>
      </c>
      <c r="J51" s="13">
        <f t="shared" si="1"/>
        <v>3.6805555555555536E-2</v>
      </c>
      <c r="K51" s="11" t="str">
        <f t="shared" si="2"/>
        <v>Not Suspect</v>
      </c>
      <c r="L51">
        <f t="shared" si="0"/>
        <v>12.5</v>
      </c>
      <c r="M51" s="10" t="s">
        <v>28</v>
      </c>
      <c r="N51">
        <v>25</v>
      </c>
    </row>
    <row r="52" spans="1:14" x14ac:dyDescent="0.25">
      <c r="A52" s="7" t="s">
        <v>57</v>
      </c>
      <c r="B52" s="7" t="s">
        <v>107</v>
      </c>
      <c r="C52" s="5" t="s">
        <v>147</v>
      </c>
      <c r="D52" s="5" t="s">
        <v>176</v>
      </c>
      <c r="E52" s="4" t="s">
        <v>181</v>
      </c>
      <c r="F52" s="4" t="s">
        <v>185</v>
      </c>
      <c r="G52" s="4" t="s">
        <v>183</v>
      </c>
      <c r="H52" s="4" t="s">
        <v>190</v>
      </c>
      <c r="I52" s="15">
        <v>13</v>
      </c>
      <c r="J52" s="13">
        <f t="shared" si="1"/>
        <v>4.1666666666666519E-3</v>
      </c>
      <c r="K52" s="11" t="str">
        <f t="shared" si="2"/>
        <v>Not Suspect</v>
      </c>
      <c r="L52">
        <f t="shared" si="0"/>
        <v>13</v>
      </c>
      <c r="M52" s="10" t="s">
        <v>194</v>
      </c>
      <c r="N52">
        <v>681</v>
      </c>
    </row>
    <row r="53" spans="1:14" x14ac:dyDescent="0.25">
      <c r="A53" s="7" t="s">
        <v>40</v>
      </c>
      <c r="B53" s="7" t="s">
        <v>90</v>
      </c>
      <c r="C53" s="5" t="s">
        <v>155</v>
      </c>
      <c r="D53" s="5" t="s">
        <v>172</v>
      </c>
      <c r="E53" s="4" t="s">
        <v>178</v>
      </c>
      <c r="F53" s="4" t="s">
        <v>185</v>
      </c>
      <c r="G53" s="4" t="s">
        <v>183</v>
      </c>
      <c r="H53" s="4" t="s">
        <v>190</v>
      </c>
      <c r="I53" s="4">
        <v>24</v>
      </c>
      <c r="J53" s="13">
        <f t="shared" si="1"/>
        <v>3.2638888888888939E-2</v>
      </c>
      <c r="K53" s="11" t="str">
        <f t="shared" si="2"/>
        <v>Not Suspect</v>
      </c>
      <c r="L53">
        <f t="shared" si="0"/>
        <v>15.5</v>
      </c>
    </row>
    <row r="54" spans="1:14" x14ac:dyDescent="0.25">
      <c r="A54" s="7" t="s">
        <v>58</v>
      </c>
      <c r="B54" s="7" t="s">
        <v>108</v>
      </c>
      <c r="C54" s="5" t="s">
        <v>156</v>
      </c>
      <c r="D54" s="5" t="s">
        <v>177</v>
      </c>
      <c r="E54" s="4" t="s">
        <v>180</v>
      </c>
      <c r="F54" s="4" t="s">
        <v>186</v>
      </c>
      <c r="G54" s="4" t="s">
        <v>188</v>
      </c>
      <c r="H54" s="4" t="s">
        <v>190</v>
      </c>
      <c r="I54" s="4">
        <v>7</v>
      </c>
      <c r="J54" s="13">
        <f t="shared" si="1"/>
        <v>6.9444444444444198E-3</v>
      </c>
      <c r="K54" s="11" t="str">
        <f t="shared" si="2"/>
        <v>Not Suspect</v>
      </c>
      <c r="L54">
        <f t="shared" si="0"/>
        <v>7</v>
      </c>
    </row>
    <row r="55" spans="1:14" x14ac:dyDescent="0.25">
      <c r="A55" s="8"/>
      <c r="B55" s="8"/>
      <c r="C55" s="3"/>
      <c r="D55" s="3"/>
      <c r="J55" s="1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Test 1</vt:lpstr>
      <vt:lpstr>Test 2</vt:lpstr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Jarel Ocasion</cp:lastModifiedBy>
  <dcterms:created xsi:type="dcterms:W3CDTF">2025-01-20T05:30:21Z</dcterms:created>
  <dcterms:modified xsi:type="dcterms:W3CDTF">2025-01-23T21:09:38Z</dcterms:modified>
</cp:coreProperties>
</file>